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sus\Downloads\BLINKIT PROJECT CAPSTON\"/>
    </mc:Choice>
  </mc:AlternateContent>
  <xr:revisionPtr revIDLastSave="0" documentId="8_{9A61C5DF-5CC4-4FAA-8D3C-D150F88BAD5A}" xr6:coauthVersionLast="47" xr6:coauthVersionMax="47" xr10:uidLastSave="{00000000-0000-0000-0000-000000000000}"/>
  <bookViews>
    <workbookView xWindow="-108" yWindow="-108" windowWidth="23256" windowHeight="13896" activeTab="1" xr2:uid="{F8420BDF-C08E-4FBB-891B-F574F63AC6D0}"/>
  </bookViews>
  <sheets>
    <sheet name="Main KPIs" sheetId="2" r:id="rId1"/>
    <sheet name="Dashboard" sheetId="4" r:id="rId2"/>
    <sheet name="Charts" sheetId="6" r:id="rId3"/>
    <sheet name="BlinkIT Grocery Data" sheetId="1" r:id="rId4"/>
  </sheets>
  <definedNames>
    <definedName name="Slicer_Item_Fat_Content">#N/A</definedName>
    <definedName name="Slicer_Item_Type">#N/A</definedName>
    <definedName name="Slicer_Outlet_Establishment_Year">#N/A</definedName>
    <definedName name="Slicer_Outlet_Location_Type">#N/A</definedName>
    <definedName name="Slicer_Outlet_Size">#N/A</definedName>
    <definedName name="Slicer_Outlet_Size1">#N/A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E13" i="2"/>
  <c r="D13" i="2"/>
  <c r="C13" i="2"/>
  <c r="B13" i="2"/>
  <c r="K11" i="1"/>
</calcChain>
</file>

<file path=xl/sharedStrings.xml><?xml version="1.0" encoding="utf-8"?>
<sst xmlns="http://schemas.openxmlformats.org/spreadsheetml/2006/main" count="59750" uniqueCount="1621">
  <si>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</si>
  <si>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</si>
  <si>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</si>
  <si>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</si>
  <si>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</si>
  <si>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</si>
  <si>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</si>
  <si>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</si>
  <si>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</si>
  <si>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</si>
  <si>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</si>
  <si>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</si>
  <si>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</si>
  <si>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</si>
  <si>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</si>
  <si>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</si>
  <si>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</si>
  <si>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</si>
  <si>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</si>
  <si>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</si>
  <si>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</si>
  <si>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</si>
  <si>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</si>
  <si>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</si>
  <si>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</si>
  <si>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</si>
  <si>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</si>
  <si>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</si>
  <si>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</si>
  <si>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</si>
  <si>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</si>
  <si>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</si>
  <si>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</si>
  <si>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</si>
  <si>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</si>
  <si>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</si>
  <si>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</si>
  <si>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</si>
  <si>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</si>
  <si>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</si>
  <si>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</si>
  <si>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</si>
  <si>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</si>
  <si>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</si>
  <si>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</si>
  <si>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</si>
  <si>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</si>
  <si>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</si>
  <si>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</si>
  <si>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</si>
  <si>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</si>
  <si>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</si>
  <si>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</si>
  <si>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</si>
  <si>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</si>
  <si>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</si>
  <si>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</si>
  <si>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</si>
  <si>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</si>
  <si>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</si>
  <si>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</si>
  <si>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</si>
  <si>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</si>
  <si>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</si>
  <si>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</si>
  <si>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</si>
  <si>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</si>
  <si>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</si>
  <si>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</si>
  <si>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</si>
  <si>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</si>
  <si>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</si>
  <si>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</si>
  <si>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</si>
  <si>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</si>
  <si>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</si>
  <si>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</si>
  <si>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</si>
  <si>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</si>
  <si>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</si>
  <si>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</si>
  <si>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</si>
  <si>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</si>
  <si>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</si>
  <si>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</si>
  <si>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</si>
  <si>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</si>
  <si>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</si>
  <si>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</si>
  <si>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</si>
  <si>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</si>
  <si>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</si>
  <si>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</si>
  <si>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</si>
  <si>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</si>
  <si>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</si>
  <si>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</si>
  <si>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</si>
  <si>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</si>
  <si>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</si>
  <si>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</si>
  <si>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</si>
  <si>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</si>
  <si>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</si>
  <si>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</si>
  <si>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</si>
  <si>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</si>
  <si>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</si>
  <si>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</si>
  <si>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</si>
  <si>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</si>
  <si>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</si>
  <si>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</si>
  <si>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</si>
  <si>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</si>
  <si>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</si>
  <si>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</si>
  <si>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</si>
  <si>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</si>
  <si>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</si>
  <si>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</si>
  <si>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</si>
  <si>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</si>
  <si>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</si>
  <si>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</si>
  <si>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</si>
  <si>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</si>
  <si>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</si>
  <si>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</si>
  <si>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</si>
  <si>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</si>
  <si>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</si>
  <si>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</si>
  <si>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</si>
  <si>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</si>
  <si>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</si>
  <si>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</si>
  <si>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</si>
  <si>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</si>
  <si>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</si>
  <si>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</si>
  <si>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</si>
  <si>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</si>
  <si>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</si>
  <si>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</si>
  <si>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</si>
  <si>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</si>
  <si>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</si>
  <si>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</si>
  <si>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</si>
  <si>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</si>
  <si>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</si>
  <si>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</si>
  <si>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</si>
  <si>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</si>
  <si>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</si>
  <si>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</si>
  <si>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</si>
  <si>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</si>
  <si>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</si>
  <si>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</si>
  <si>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</si>
  <si>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</si>
  <si>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</si>
  <si>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</si>
  <si>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</si>
  <si>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</si>
  <si>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</si>
  <si>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</si>
  <si>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</si>
  <si>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</si>
  <si>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</si>
  <si>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</si>
  <si>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</si>
  <si>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</si>
  <si>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</si>
  <si>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</si>
  <si>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</si>
  <si>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</si>
  <si>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</si>
  <si>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</si>
  <si>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</si>
  <si>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</si>
  <si>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</si>
  <si>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</si>
  <si>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</si>
  <si>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</si>
  <si>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</si>
  <si>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</si>
  <si>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</si>
  <si>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</si>
  <si>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</si>
  <si>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</si>
  <si>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</si>
  <si>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</si>
  <si>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</si>
  <si>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</si>
  <si>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</si>
  <si>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</si>
  <si>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</si>
  <si>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</si>
  <si>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</si>
  <si>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</si>
  <si>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</si>
  <si>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</si>
  <si>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</si>
  <si>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</si>
  <si>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</si>
  <si>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</si>
  <si>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</si>
  <si>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</si>
  <si>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</si>
  <si>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</si>
  <si>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</si>
  <si>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</si>
  <si>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</si>
  <si>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</si>
  <si>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</si>
  <si>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</si>
  <si>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</si>
  <si>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</si>
  <si>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</si>
  <si>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</si>
  <si>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</si>
  <si>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</si>
  <si>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</si>
  <si>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</si>
  <si>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</si>
  <si>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</si>
  <si>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</si>
  <si>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</si>
  <si>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</si>
  <si>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</si>
  <si>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</si>
  <si>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</si>
  <si>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</si>
  <si>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</si>
  <si>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</si>
  <si>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</si>
  <si>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</si>
  <si>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</si>
  <si>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</si>
  <si>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</si>
  <si>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</si>
  <si>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</si>
  <si>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</si>
  <si>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</si>
  <si>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</si>
  <si>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</si>
  <si>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</si>
  <si>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</si>
  <si>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</si>
  <si>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</si>
  <si>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</si>
  <si>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</si>
  <si>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</si>
  <si>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</si>
  <si>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</si>
  <si>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</si>
  <si>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</si>
  <si>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</si>
  <si>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</si>
  <si>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</si>
  <si>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</si>
  <si>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</si>
  <si>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</si>
  <si>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</si>
  <si>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</si>
  <si>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</si>
  <si>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</si>
  <si>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</si>
  <si>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</si>
  <si>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</si>
  <si>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</si>
  <si>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</si>
  <si>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</si>
  <si>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</si>
  <si>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</si>
  <si>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</si>
  <si>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</si>
  <si>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</si>
  <si>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</si>
  <si>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</si>
  <si>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</si>
  <si>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</si>
  <si>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</si>
  <si>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</si>
  <si>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</si>
  <si>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</si>
  <si>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</si>
  <si>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</si>
  <si>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</si>
  <si>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</si>
  <si>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</si>
  <si>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</si>
  <si>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</si>
  <si>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</si>
  <si>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</si>
  <si>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</si>
  <si>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</si>
  <si>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</si>
  <si>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</si>
  <si>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</si>
  <si>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</si>
  <si>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</si>
  <si>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</si>
  <si>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</si>
  <si>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</si>
  <si>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</si>
  <si>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</si>
  <si>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</si>
  <si>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</si>
  <si>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</si>
  <si>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</si>
  <si>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</si>
  <si>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</si>
  <si>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</si>
  <si>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</si>
  <si>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</si>
  <si>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</si>
  <si>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</si>
  <si>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</si>
  <si>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</si>
  <si>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</si>
  <si>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</si>
  <si>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</si>
  <si>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</si>
  <si>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</si>
  <si>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</si>
  <si>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</si>
  <si>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</si>
  <si>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</si>
  <si>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</si>
  <si>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</si>
  <si>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</si>
  <si>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</si>
  <si>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</si>
  <si>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</si>
  <si>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</si>
  <si>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</si>
  <si>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</si>
  <si>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</si>
  <si>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</si>
  <si>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</si>
  <si>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</si>
  <si>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</si>
  <si>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</si>
  <si>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</si>
  <si>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</si>
  <si>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</si>
  <si>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</si>
  <si>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</si>
  <si>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</si>
  <si>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</si>
  <si>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</si>
  <si>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</si>
  <si>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</si>
  <si>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</si>
  <si>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</si>
  <si>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</si>
  <si>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</si>
  <si>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</si>
  <si>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</si>
  <si>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</si>
  <si>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</si>
  <si>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</si>
  <si>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</si>
  <si>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</si>
  <si>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</si>
  <si>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</si>
  <si>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</si>
  <si>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</si>
  <si>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</si>
  <si>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</si>
  <si>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</si>
  <si>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</si>
  <si>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</si>
  <si>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</si>
  <si>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</si>
  <si>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</si>
  <si>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</si>
  <si>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</si>
  <si>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</si>
  <si>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</si>
  <si>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</si>
  <si>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</si>
  <si>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</si>
  <si>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</si>
  <si>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</si>
  <si>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</si>
  <si>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</si>
  <si>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</si>
  <si>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</si>
  <si>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</si>
  <si>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</si>
  <si>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</si>
  <si>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</si>
  <si>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</si>
  <si>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</si>
  <si>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</si>
  <si>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</si>
  <si>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</si>
  <si>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</si>
  <si>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</si>
  <si>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</si>
  <si>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</si>
  <si>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</si>
  <si>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</si>
  <si>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</si>
  <si>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</si>
  <si>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</si>
  <si>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</si>
  <si>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</si>
  <si>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</si>
  <si>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</si>
  <si>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</si>
  <si>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</si>
  <si>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</si>
  <si>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</si>
  <si>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</si>
  <si>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</si>
  <si>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</si>
  <si>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</si>
  <si>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</si>
  <si>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</si>
  <si>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</si>
  <si>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</si>
  <si>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</si>
  <si>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</si>
  <si>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</si>
  <si>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</si>
  <si>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</si>
  <si>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</si>
  <si>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</si>
  <si>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</si>
  <si>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</si>
  <si>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</si>
  <si>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</si>
  <si>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</si>
  <si>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</si>
  <si>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</si>
  <si>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</si>
  <si>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</si>
  <si>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</si>
  <si>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</si>
  <si>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</si>
  <si>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</si>
  <si>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</si>
  <si>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</si>
  <si>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</si>
  <si>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</si>
  <si>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</si>
  <si>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</si>
  <si>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</si>
  <si>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</si>
  <si>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</si>
  <si>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</si>
  <si>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</si>
  <si>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</si>
  <si>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</si>
  <si>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</si>
  <si>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</si>
  <si>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</si>
  <si>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</si>
  <si>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</si>
  <si>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</si>
  <si>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</si>
  <si>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</si>
  <si>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</si>
  <si>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</si>
  <si>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</si>
  <si>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</si>
  <si>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</si>
  <si>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</si>
  <si>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</si>
  <si>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</si>
  <si>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</si>
  <si>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</si>
  <si>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</si>
  <si>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</si>
  <si>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</si>
  <si>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</si>
  <si>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</si>
  <si>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</si>
  <si>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</si>
  <si>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</si>
  <si>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</si>
  <si>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</si>
  <si>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</si>
  <si>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</si>
  <si>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</si>
  <si>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</si>
  <si>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</si>
  <si>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</si>
  <si>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</si>
  <si>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</si>
  <si>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</si>
  <si>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</si>
  <si>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</si>
  <si>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</si>
  <si>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</si>
  <si>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</si>
  <si>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</si>
  <si>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</si>
  <si>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</si>
  <si>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</si>
  <si>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</si>
  <si>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</si>
  <si>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</si>
  <si>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</si>
  <si>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</si>
  <si>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</si>
  <si>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</si>
  <si>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</si>
  <si>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</si>
  <si>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</si>
  <si>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</si>
  <si>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</si>
  <si>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</si>
  <si>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</si>
  <si>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</si>
  <si>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</si>
  <si>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</si>
  <si>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</si>
  <si>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</si>
  <si>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</si>
  <si>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</si>
  <si>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</si>
  <si>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</si>
  <si>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</si>
  <si>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</si>
  <si>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</si>
  <si>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</si>
  <si>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</si>
  <si>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</si>
  <si>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</si>
  <si>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</si>
  <si>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</si>
  <si>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</si>
  <si>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</si>
  <si>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</si>
  <si>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</si>
  <si>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</si>
  <si>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</si>
  <si>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</si>
  <si>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</si>
  <si>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</si>
  <si>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</si>
  <si>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</si>
  <si>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</si>
  <si>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</si>
  <si>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</si>
  <si>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</si>
  <si>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</si>
  <si>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</si>
  <si>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</si>
  <si>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</si>
  <si>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</si>
  <si>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</si>
  <si>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</si>
  <si>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</si>
  <si>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</si>
  <si>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</si>
  <si>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</si>
  <si>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</si>
  <si>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</si>
  <si>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</si>
  <si>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</si>
  <si>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</si>
  <si>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</si>
  <si>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</si>
  <si>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</si>
  <si>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</si>
  <si>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</si>
  <si>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</si>
  <si>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</si>
  <si>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</si>
  <si>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</si>
  <si>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</si>
  <si>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</si>
  <si>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</si>
  <si>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</si>
  <si>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</si>
  <si>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</si>
  <si>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</si>
  <si>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</si>
  <si>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</si>
  <si>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</si>
  <si>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</si>
  <si>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</si>
  <si>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</si>
  <si>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</si>
  <si>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</si>
  <si>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</si>
  <si>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</si>
  <si>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</si>
  <si>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</si>
  <si>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</si>
  <si>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</si>
  <si>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</si>
  <si>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</si>
  <si>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</si>
  <si>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</si>
  <si>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</si>
  <si>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</si>
  <si>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</si>
  <si>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</si>
  <si>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</si>
  <si>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</si>
  <si>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</si>
  <si>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</si>
  <si>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</si>
  <si>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</si>
  <si>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</si>
  <si>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</si>
  <si>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</si>
  <si>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</si>
  <si>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</si>
  <si>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</si>
  <si>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</si>
  <si>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</si>
  <si>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</si>
  <si>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</si>
  <si>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</si>
  <si>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</si>
  <si>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</si>
  <si>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</si>
  <si>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</si>
  <si>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</si>
  <si>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</si>
  <si>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</si>
  <si>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</si>
  <si>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</si>
  <si>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</si>
  <si>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</si>
  <si>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</si>
  <si>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</si>
  <si>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</si>
  <si>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</si>
  <si>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</si>
  <si>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</si>
  <si>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</si>
  <si>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</si>
  <si>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</si>
  <si>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</si>
  <si>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</si>
  <si>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</si>
  <si>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</si>
  <si>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</si>
  <si>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</si>
  <si>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</si>
  <si>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</si>
  <si>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</si>
  <si>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</si>
  <si>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</si>
  <si>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</si>
  <si>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</si>
  <si>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</si>
  <si>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</si>
  <si>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</si>
  <si>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</si>
  <si>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</si>
  <si>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</si>
  <si>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</si>
  <si>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</si>
  <si>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</si>
  <si>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</si>
  <si>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</si>
  <si>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</si>
  <si>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</si>
  <si>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</si>
  <si>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</si>
  <si>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</si>
  <si>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</si>
  <si>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</si>
  <si>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</si>
  <si>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</si>
  <si>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</si>
  <si>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</si>
  <si>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</si>
  <si>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</si>
  <si>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</si>
  <si>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</si>
  <si>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</si>
  <si>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</si>
  <si>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</si>
  <si>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</si>
  <si>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</si>
  <si>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</si>
  <si>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</si>
  <si>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</si>
  <si>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</si>
  <si>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</si>
  <si>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</si>
  <si>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</si>
  <si>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</si>
  <si>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</si>
  <si>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</si>
  <si>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</si>
  <si>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</si>
  <si>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</si>
  <si>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</si>
  <si>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</si>
  <si>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</si>
  <si>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</si>
  <si>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</si>
  <si>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</si>
  <si>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</si>
  <si>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</si>
  <si>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</si>
  <si>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</si>
  <si>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</si>
  <si>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</si>
  <si>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</si>
  <si>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</si>
  <si>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</si>
  <si>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</si>
  <si>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</si>
  <si>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</si>
  <si>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</si>
  <si>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</si>
  <si>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</si>
  <si>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</si>
  <si>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</si>
  <si>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</si>
  <si>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</si>
  <si>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</si>
  <si>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</si>
  <si>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</si>
  <si>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</si>
  <si>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</si>
  <si>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</si>
  <si>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</si>
  <si>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</si>
  <si>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</si>
  <si>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</si>
  <si>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</si>
  <si>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</si>
  <si>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</si>
  <si>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</si>
  <si>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</si>
  <si>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</si>
  <si>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</si>
  <si>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</si>
  <si>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</si>
  <si>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</si>
  <si>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</si>
  <si>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</si>
  <si>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</si>
  <si>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</si>
  <si>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</si>
  <si>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</si>
  <si>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</si>
  <si>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</si>
  <si>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</si>
  <si>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</si>
  <si>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</si>
  <si>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</si>
  <si>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</si>
  <si>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</si>
  <si>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</si>
  <si>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</si>
  <si>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</si>
  <si>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</si>
  <si>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</si>
  <si>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</si>
  <si>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</si>
  <si>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</si>
  <si>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</si>
  <si>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</si>
  <si>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</si>
  <si>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</si>
  <si>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</si>
  <si>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</si>
  <si>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</si>
  <si>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</si>
  <si>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</si>
  <si>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</si>
  <si>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</si>
  <si>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</si>
  <si>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</si>
  <si>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</si>
  <si>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</si>
  <si>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</si>
  <si>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</si>
  <si>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</si>
  <si>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</si>
  <si>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</si>
  <si>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</si>
  <si>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</si>
  <si>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</si>
  <si>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</si>
  <si>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</si>
  <si>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</si>
  <si>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</si>
  <si>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</si>
  <si>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</si>
  <si>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</si>
  <si>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</si>
  <si>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</si>
  <si>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</si>
  <si>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</si>
  <si>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</si>
  <si>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</si>
  <si>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</si>
  <si>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</si>
  <si>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</si>
  <si>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</si>
  <si>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</si>
  <si>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</si>
  <si>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</si>
  <si>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</si>
  <si>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</si>
  <si>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</si>
  <si>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</si>
  <si>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</si>
  <si>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</si>
  <si>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</si>
  <si>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</si>
  <si>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</si>
  <si>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</si>
  <si>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</si>
  <si>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</si>
  <si>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</si>
  <si>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</si>
  <si>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</si>
  <si>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</si>
  <si>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</si>
  <si>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</si>
  <si>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</si>
  <si>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</si>
  <si>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</si>
  <si>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</si>
  <si>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</si>
  <si>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</si>
  <si>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</si>
  <si>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</si>
  <si>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</si>
  <si>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</si>
  <si>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</si>
  <si>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</si>
  <si>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</si>
  <si>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</si>
  <si>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</si>
  <si>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</si>
  <si>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</si>
  <si>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</si>
  <si>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</si>
  <si>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</si>
  <si>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</si>
  <si>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</si>
  <si>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</si>
  <si>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</si>
  <si>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</si>
  <si>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</si>
  <si>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</si>
  <si>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</si>
  <si>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</si>
  <si>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</si>
  <si>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</si>
  <si>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</si>
  <si>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</si>
  <si>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</si>
  <si>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</si>
  <si>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</si>
  <si>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</si>
  <si>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</si>
  <si>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</si>
  <si>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</si>
  <si>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</si>
  <si>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</si>
  <si>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</si>
  <si>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</si>
  <si>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</si>
  <si>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</si>
  <si>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</si>
  <si>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</si>
  <si>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</si>
  <si>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</si>
  <si>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</si>
  <si>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</si>
  <si>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</si>
  <si>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</si>
  <si>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</si>
  <si>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</si>
  <si>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</si>
  <si>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</si>
  <si>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</si>
  <si>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</si>
  <si>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</si>
  <si>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</si>
  <si>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</si>
  <si>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</si>
  <si>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</si>
  <si>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</si>
  <si>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</si>
  <si>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</si>
  <si>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</si>
  <si>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</si>
  <si>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</si>
  <si>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</si>
  <si>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</si>
  <si>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</si>
  <si>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</si>
  <si>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</si>
  <si>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</si>
  <si>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</si>
  <si>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</si>
  <si>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</si>
  <si>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</si>
  <si>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</si>
  <si>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</si>
  <si>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</si>
  <si>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</si>
  <si>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</si>
  <si>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</si>
  <si>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</si>
  <si>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</si>
  <si>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</si>
  <si>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</si>
  <si>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</si>
  <si>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</si>
  <si>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</si>
  <si>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</si>
  <si>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</si>
  <si>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</si>
  <si>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</si>
  <si>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</si>
  <si>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</si>
  <si>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</si>
  <si>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</si>
  <si>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</si>
  <si>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</si>
  <si>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</si>
  <si>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</si>
  <si>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</si>
  <si>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</si>
  <si>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</si>
  <si>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</si>
  <si>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</si>
  <si>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</si>
  <si>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</si>
  <si>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</si>
  <si>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</si>
  <si>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</si>
  <si>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</si>
  <si>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</si>
  <si>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</si>
  <si>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</si>
  <si>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</si>
  <si>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</si>
  <si>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</si>
  <si>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</si>
  <si>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</si>
  <si>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</si>
  <si>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</si>
  <si>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</si>
  <si>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</si>
  <si>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</si>
  <si>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</si>
  <si>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</si>
  <si>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</si>
  <si>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</si>
  <si>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</si>
  <si>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</si>
  <si>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</si>
  <si>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</si>
  <si>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</si>
  <si>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</si>
  <si>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</si>
  <si>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</si>
  <si>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</si>
  <si>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</si>
  <si>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</si>
  <si>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</si>
  <si>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</si>
  <si>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</si>
  <si>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</si>
  <si>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</si>
  <si>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</si>
  <si>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</si>
  <si>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</si>
  <si>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</si>
  <si>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</si>
  <si>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</si>
  <si>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</si>
  <si>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</si>
  <si>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</si>
  <si>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</si>
  <si>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</si>
  <si>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</si>
  <si>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</si>
  <si>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</si>
  <si>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</si>
  <si>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</si>
  <si>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</si>
  <si>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</si>
  <si>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</si>
  <si>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</si>
  <si>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</si>
  <si>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</si>
  <si>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</si>
  <si>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</si>
  <si>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</si>
  <si>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</si>
  <si>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</si>
  <si>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</si>
  <si>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</si>
  <si>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</si>
  <si>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</si>
  <si>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</si>
  <si>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</si>
  <si>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</si>
  <si>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</si>
  <si>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</si>
  <si>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</si>
  <si>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</si>
  <si>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</si>
  <si>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</si>
  <si>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</si>
  <si>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</si>
  <si>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</si>
  <si>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</si>
  <si>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</si>
  <si>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</si>
  <si>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</si>
  <si>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</si>
  <si>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</si>
  <si>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</si>
  <si>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</si>
  <si>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</si>
  <si>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</si>
  <si>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</si>
  <si>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</si>
  <si>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</si>
  <si>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</si>
  <si>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</si>
  <si>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</si>
  <si>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</si>
  <si>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</si>
  <si>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</si>
  <si>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</si>
  <si>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</si>
  <si>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</si>
  <si>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</si>
  <si>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</si>
  <si>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</si>
  <si>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</si>
  <si>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</si>
  <si>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</si>
  <si>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</si>
  <si>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</si>
  <si>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</si>
  <si>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</si>
  <si>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</si>
  <si>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</si>
  <si>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</si>
  <si>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</si>
  <si>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</si>
  <si>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</si>
  <si>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</si>
  <si>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</si>
  <si>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</si>
  <si>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</si>
  <si>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</si>
  <si>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</si>
  <si>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</si>
  <si>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</si>
  <si>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</si>
  <si>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</si>
  <si>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</si>
  <si>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</si>
  <si>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</si>
  <si>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</si>
  <si>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</si>
  <si>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</si>
  <si>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</si>
  <si>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</si>
  <si>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</si>
  <si>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</si>
  <si>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</si>
  <si>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</si>
  <si>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</si>
  <si>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</si>
  <si>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</si>
  <si>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</si>
  <si>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</si>
  <si>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</si>
  <si>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</si>
  <si>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</si>
  <si>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</si>
  <si>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</si>
  <si>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</si>
  <si>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</si>
  <si>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</si>
  <si>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</si>
  <si>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</si>
  <si>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</si>
  <si>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</si>
  <si>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</si>
  <si>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</si>
  <si>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</si>
  <si>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</si>
  <si>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</si>
  <si>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</si>
  <si>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</si>
  <si>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</si>
  <si>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</si>
  <si>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</si>
  <si>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</si>
  <si>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</si>
  <si>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</si>
  <si>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</si>
  <si>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</si>
  <si>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</si>
  <si>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</si>
  <si>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</si>
  <si>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</si>
  <si>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</si>
  <si>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</si>
  <si>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</si>
  <si>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</si>
  <si>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</si>
  <si>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</si>
  <si>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</si>
  <si>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</si>
  <si>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</si>
  <si>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</si>
  <si>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</si>
  <si>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</si>
  <si>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</si>
  <si>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</si>
  <si>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</si>
  <si>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</si>
  <si>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</si>
  <si>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</si>
  <si>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</si>
  <si>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</si>
  <si>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</si>
  <si>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</si>
  <si>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</si>
  <si>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</si>
  <si>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</si>
  <si>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</si>
  <si>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</si>
  <si>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</si>
  <si>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</si>
  <si>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</si>
  <si>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</si>
  <si>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</si>
  <si>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</si>
  <si>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</si>
  <si>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</si>
  <si>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</si>
  <si>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</si>
  <si>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</si>
  <si>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</si>
  <si>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</si>
  <si>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</si>
  <si>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</si>
  <si>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</si>
  <si>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</si>
  <si>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</si>
  <si>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</si>
  <si>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</si>
  <si>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</si>
  <si>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</si>
  <si>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</si>
  <si>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</si>
  <si>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</si>
  <si>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</si>
  <si>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</si>
  <si>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</si>
  <si>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</si>
  <si>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</si>
  <si>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</si>
  <si>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</si>
  <si>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</si>
  <si>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</si>
  <si>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</si>
  <si>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</si>
  <si>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</si>
  <si>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</si>
  <si>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</si>
  <si>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</si>
  <si>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</si>
  <si>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</si>
  <si>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</si>
  <si>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</si>
  <si>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</si>
  <si>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</si>
  <si>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</si>
  <si>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</si>
  <si>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</si>
  <si>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</si>
  <si>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</si>
  <si>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</si>
  <si>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</si>
  <si>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</si>
  <si>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</si>
  <si>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</si>
  <si>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</si>
  <si>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</si>
  <si>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</si>
  <si>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</si>
  <si>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</si>
  <si>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</si>
  <si>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</si>
  <si>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</si>
  <si>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</si>
  <si>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</si>
  <si>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</si>
  <si>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</si>
  <si>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</si>
  <si>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</si>
  <si>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</si>
  <si>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</si>
  <si>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</si>
  <si>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</si>
  <si>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</si>
  <si>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</si>
  <si>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</si>
  <si>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</si>
  <si>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</si>
  <si>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</si>
  <si>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</si>
  <si>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</si>
  <si>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</si>
  <si>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</si>
  <si>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</si>
  <si>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</si>
  <si>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</si>
  <si>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</si>
  <si>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</si>
  <si>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</si>
  <si>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</si>
  <si>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</si>
  <si>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</si>
  <si>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</si>
  <si>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</si>
  <si>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</si>
  <si>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</si>
  <si>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</si>
  <si>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</si>
  <si>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</si>
  <si>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</si>
  <si>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</si>
  <si>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</si>
  <si>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</si>
  <si>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</si>
  <si>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</si>
  <si>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</si>
  <si>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</si>
  <si>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</si>
  <si>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</si>
  <si>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</si>
  <si>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</si>
  <si>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</si>
  <si>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</si>
  <si>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</si>
  <si>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</si>
  <si>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</si>
  <si>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</si>
  <si>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</si>
  <si>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</si>
  <si>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</si>
  <si>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</si>
  <si>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</si>
  <si>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</si>
  <si>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</si>
  <si>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</si>
  <si>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</si>
  <si>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</si>
  <si>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</si>
  <si>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</si>
  <si>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</si>
  <si>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</si>
  <si>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</si>
  <si>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</si>
  <si>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</si>
  <si>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</si>
  <si>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</si>
  <si>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</si>
  <si>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</si>
  <si>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</si>
  <si>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</si>
  <si>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</si>
  <si>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</si>
  <si>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</si>
  <si>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</si>
  <si>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</si>
  <si>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</si>
  <si>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</si>
  <si>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</si>
  <si>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</si>
  <si>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</si>
  <si>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</si>
  <si>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</si>
  <si>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</si>
  <si>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</si>
  <si>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</si>
  <si>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</si>
  <si>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</si>
  <si>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</si>
  <si>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</si>
  <si>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</si>
  <si>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</si>
  <si>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</si>
  <si>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</si>
  <si>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</si>
  <si>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</si>
  <si>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</si>
  <si>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</si>
  <si>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</si>
  <si>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</si>
  <si>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</si>
  <si>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</si>
  <si>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</si>
  <si>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</si>
  <si>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</si>
  <si>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</si>
  <si>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</si>
  <si>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</si>
  <si>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</si>
  <si>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</si>
  <si>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</si>
  <si>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</si>
  <si>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</si>
  <si>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</si>
  <si>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</si>
  <si>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</si>
  <si>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</si>
  <si>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</si>
  <si>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</si>
  <si>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</si>
  <si>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</si>
  <si>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</si>
  <si>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</si>
  <si>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</si>
  <si>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</si>
  <si>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</si>
  <si>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</si>
  <si>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</si>
  <si>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</si>
  <si>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</si>
  <si>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</si>
  <si>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</si>
  <si>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</si>
  <si>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</si>
  <si>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</si>
  <si>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</si>
  <si>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</si>
  <si>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</si>
  <si>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</si>
  <si>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</si>
  <si>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</si>
  <si>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</si>
  <si>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</si>
  <si>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</si>
  <si>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</si>
  <si>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</si>
  <si>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</si>
  <si>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</si>
  <si>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</si>
  <si>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</si>
  <si>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</si>
  <si>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</si>
  <si>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</si>
  <si>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</si>
  <si>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</si>
  <si>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</si>
  <si>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</si>
  <si>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</si>
  <si>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</si>
  <si>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</si>
  <si>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</si>
  <si>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</si>
  <si>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</si>
  <si>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</si>
  <si>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</si>
  <si>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</si>
  <si>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</si>
  <si>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</si>
  <si>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</si>
  <si>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</si>
  <si>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</si>
  <si>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</si>
  <si>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</si>
  <si>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</si>
  <si>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</si>
  <si>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</si>
  <si>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</si>
  <si>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</si>
  <si>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</si>
  <si>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</si>
  <si>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</si>
  <si>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</si>
  <si>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</si>
  <si>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</si>
  <si>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</si>
  <si>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</si>
  <si>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</si>
  <si>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</si>
  <si>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</si>
  <si>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</si>
  <si>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</si>
  <si>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</si>
  <si>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</si>
  <si>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</si>
  <si>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</si>
  <si>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</si>
  <si>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</si>
  <si>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</si>
  <si>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</si>
  <si>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</si>
  <si>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</si>
  <si>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</si>
  <si>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</si>
  <si>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</si>
  <si>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</si>
  <si>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</si>
  <si>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</si>
  <si>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</si>
  <si>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</si>
  <si>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</si>
  <si>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</si>
  <si>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</si>
  <si>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</si>
  <si>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</si>
  <si>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</si>
  <si>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</si>
  <si>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</si>
  <si>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</si>
  <si>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</si>
  <si>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</si>
  <si>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</si>
  <si>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</si>
  <si>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</si>
  <si>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</si>
  <si>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</si>
  <si>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</si>
  <si>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</si>
  <si>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</si>
  <si>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</si>
  <si>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</si>
  <si>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</si>
  <si>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</si>
  <si>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</si>
  <si>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</si>
  <si>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</si>
  <si>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</si>
  <si>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</si>
  <si>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</si>
  <si>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</si>
  <si>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</si>
  <si>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</si>
  <si>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</si>
  <si>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</si>
  <si>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</si>
  <si>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</si>
  <si>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</si>
  <si>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</si>
  <si>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</si>
  <si>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</si>
  <si>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</si>
  <si>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</si>
  <si>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</si>
  <si>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</si>
  <si>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</si>
  <si>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</si>
  <si>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</si>
  <si>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</si>
  <si>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</si>
  <si>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</si>
  <si>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</si>
  <si>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</si>
  <si>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</si>
  <si>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</si>
  <si>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</si>
  <si>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</si>
  <si>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</si>
  <si>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</si>
  <si>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</si>
  <si>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</si>
  <si>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</si>
  <si>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</si>
  <si>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</si>
  <si>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</si>
  <si>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</si>
  <si>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</si>
  <si>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</si>
  <si>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</si>
  <si>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</si>
  <si>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</si>
  <si>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</si>
  <si>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</si>
  <si>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</si>
  <si>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</si>
  <si>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</si>
  <si>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</si>
  <si>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</si>
  <si>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</si>
  <si>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</si>
  <si>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</si>
  <si>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</si>
  <si>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</si>
  <si>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</si>
  <si>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</si>
  <si>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</si>
  <si>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</si>
  <si>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</si>
  <si>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</si>
  <si>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</si>
  <si>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</si>
  <si>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</si>
  <si>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</si>
  <si>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</si>
  <si>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</si>
  <si>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</si>
  <si>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</si>
  <si>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</si>
  <si>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</si>
  <si>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</si>
  <si>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</si>
  <si>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</si>
  <si>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</si>
  <si>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</si>
  <si>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</si>
  <si>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</si>
  <si>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</si>
  <si>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</si>
  <si>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</si>
  <si>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</si>
  <si>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</si>
  <si>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</si>
  <si>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</si>
  <si>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</si>
  <si>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</si>
  <si>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</si>
  <si>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</si>
  <si>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</si>
  <si>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</si>
  <si>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</si>
  <si>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</si>
  <si>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</si>
  <si>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</si>
  <si>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</si>
  <si>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</si>
  <si>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</si>
  <si>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</si>
  <si>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</si>
  <si>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</si>
  <si>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</si>
  <si>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</si>
  <si>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</si>
  <si>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</si>
  <si>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</si>
  <si>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</si>
  <si>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</si>
  <si>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</si>
  <si>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</si>
  <si>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</si>
  <si>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</si>
  <si>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</si>
  <si>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</si>
  <si>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</si>
  <si>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</si>
  <si>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</si>
  <si>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</si>
  <si>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</si>
  <si>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</si>
  <si>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</si>
  <si>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</si>
  <si>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</si>
  <si>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</si>
  <si>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</si>
  <si>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</si>
  <si>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</si>
  <si>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</si>
  <si>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</si>
  <si>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</si>
  <si>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</si>
  <si>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</si>
  <si>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</si>
  <si>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</si>
  <si>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</si>
  <si>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</si>
  <si>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</si>
  <si>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</si>
  <si>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</si>
  <si>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</si>
  <si>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</si>
  <si>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</si>
  <si>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</si>
  <si>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</si>
  <si>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</si>
  <si>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</si>
  <si>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</si>
  <si>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</si>
  <si>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</si>
  <si>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</si>
  <si>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</si>
  <si>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</si>
  <si>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</si>
  <si>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</si>
  <si>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</si>
  <si>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</si>
  <si>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</si>
  <si>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</si>
  <si>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</si>
  <si>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</si>
  <si>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</si>
  <si>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 xml:space="preserve">Total Number of items </t>
  </si>
  <si>
    <t>Average Rating</t>
  </si>
  <si>
    <t>Average Sales</t>
  </si>
  <si>
    <t>Total sales</t>
  </si>
  <si>
    <t>Serial No.</t>
  </si>
  <si>
    <t>Count of Serial No.</t>
  </si>
  <si>
    <t>KPIs</t>
  </si>
  <si>
    <t>SALES BY FAT CONTENT</t>
  </si>
  <si>
    <t>Sales by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</si>
</sst>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0.0,,&quot;M&quot;"/>
    <numFmt numFmtId="166" formatCode="&quot;$&quot;0.0"/>
    <numFmt numFmtId="169" formatCode="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2" fontId="0" fillId="0" borderId="10" xfId="0" applyNumberFormat="1" applyBorder="1"/>
    <xf numFmtId="0" fontId="16" fillId="33" borderId="10" xfId="0" applyFont="1" applyFill="1" applyBorder="1"/>
    <xf numFmtId="165" fontId="0" fillId="0" borderId="0" xfId="0" applyNumberFormat="1"/>
    <xf numFmtId="166" fontId="0" fillId="0" borderId="0" xfId="0" applyNumberFormat="1"/>
    <xf numFmtId="0" fontId="18" fillId="34" borderId="0" xfId="0" applyFont="1" applyFill="1" applyAlignment="1">
      <alignment horizontal="center"/>
    </xf>
    <xf numFmtId="0" fontId="0" fillId="0" borderId="0" xfId="0" applyAlignment="1">
      <alignment horizontal="left" indent="1"/>
    </xf>
    <xf numFmtId="0" fontId="0" fillId="34" borderId="0" xfId="0" applyFill="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9" formatCode="0.0,&quot;k&quot;"/>
    </dxf>
    <dxf>
      <numFmt numFmtId="165" formatCode="&quot;$&quot;0.0,,&quot;M&quot;"/>
    </dxf>
    <dxf>
      <numFmt numFmtId="169" formatCode="0.0,&quot;k&quot;"/>
    </dxf>
    <dxf>
      <numFmt numFmtId="169" formatCode="0.0,&quot;k&quot;"/>
    </dxf>
    <dxf>
      <numFmt numFmtId="169" formatCode="0.0,&quot;k&quot;"/>
    </dxf>
    <dxf>
      <numFmt numFmtId="165" formatCode="&quot;$&quot;0.0,,&quot;M&quot;"/>
    </dxf>
    <dxf>
      <numFmt numFmtId="169" formatCode="0.0,&quot;k&quot;"/>
    </dxf>
    <dxf>
      <numFmt numFmtId="165" formatCode="&quot;$&quot;0.0,,&quot;M&quot;"/>
    </dxf>
    <dxf>
      <numFmt numFmtId="165" formatCode="&quot;$&quot;0.0,,&quot;M&quot;"/>
    </dxf>
    <dxf>
      <numFmt numFmtId="165" formatCode="&quot;$&quot;0.0,,&quot;M&quot;"/>
    </dxf>
    <dxf>
      <numFmt numFmtId="165" formatCode="&quot;$&quot;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colors>
    <mruColors>
      <color rgb="FFE9F8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With Dashboard .xlsx]Charts!PivotTable4</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Total Sales by fat content</a:t>
            </a:r>
          </a:p>
        </c:rich>
      </c:tx>
      <c:layout>
        <c:manualLayout>
          <c:xMode val="edge"/>
          <c:yMode val="edge"/>
          <c:x val="0.29424599706287136"/>
          <c:y val="1.04269321197491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00B050"/>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8382204684706471"/>
              <c:y val="-0.161190153255132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fld id="{0522A655-E9F3-46DE-A1BC-C3B772668313}" type="VALUE">
                  <a:rPr lang="en-US"/>
                  <a:pPr>
                    <a:defRPr>
                      <a:solidFill>
                        <a:schemeClr val="tx1">
                          <a:lumMod val="95000"/>
                          <a:lumOff val="5000"/>
                        </a:schemeClr>
                      </a:solidFill>
                    </a:defRPr>
                  </a:pPr>
                  <a:t>[VALUE]</a:t>
                </a:fld>
                <a:r>
                  <a:rPr lang="en-US" baseline="0"/>
                  <a:t>, </a:t>
                </a:r>
                <a:fld id="{1A97872D-575C-47EE-ACE0-14CF136CA190}" type="PERCENTAGE">
                  <a:rPr lang="en-US" sz="1000" baseline="0"/>
                  <a:pPr>
                    <a:defRPr>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FFFF00"/>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6364706819651856"/>
              <c:y val="5.503341539087423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fld id="{F0010788-D96D-4545-92F5-79DFA6888ED6}" type="VALUE">
                  <a:rPr lang="en-US"/>
                  <a:pPr>
                    <a:defRPr>
                      <a:solidFill>
                        <a:schemeClr val="tx1">
                          <a:lumMod val="95000"/>
                          <a:lumOff val="5000"/>
                        </a:schemeClr>
                      </a:solidFill>
                    </a:defRPr>
                  </a:pPr>
                  <a:t>[VALUE]</a:t>
                </a:fld>
                <a:r>
                  <a:rPr lang="en-US" baseline="0"/>
                  <a:t>, </a:t>
                </a:r>
                <a:fld id="{D250042B-E91D-4D4B-9BA3-95408EBEB9B9}" type="PERCENTAGE">
                  <a:rPr lang="en-US" sz="1000" baseline="0"/>
                  <a:pPr>
                    <a:defRPr>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0917127922317302"/>
                  <c:h val="0.13184069536384008"/>
                </c:manualLayout>
              </c15:layout>
              <c15:dlblFieldTable/>
              <c15:showDataLabelsRange val="0"/>
            </c:ext>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750020505271769"/>
          <c:w val="0.81478655757672325"/>
          <c:h val="0.81249979494728242"/>
        </c:manualLayout>
      </c:layout>
      <c:pie3DChart>
        <c:varyColors val="1"/>
        <c:ser>
          <c:idx val="0"/>
          <c:order val="0"/>
          <c:tx>
            <c:strRef>
              <c:f>Charts!$B$3</c:f>
              <c:strCache>
                <c:ptCount val="1"/>
                <c:pt idx="0">
                  <c:v>Total</c:v>
                </c:pt>
              </c:strCache>
            </c:strRef>
          </c:tx>
          <c:dPt>
            <c:idx val="0"/>
            <c:bubble3D val="0"/>
            <c:spPr>
              <a:solidFill>
                <a:srgbClr val="00B05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058-4A89-95EF-EF5217E7D450}"/>
              </c:ext>
            </c:extLst>
          </c:dPt>
          <c:dPt>
            <c:idx val="1"/>
            <c:bubble3D val="0"/>
            <c:spPr>
              <a:solidFill>
                <a:srgbClr val="FFFF0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058-4A89-95EF-EF5217E7D450}"/>
              </c:ext>
            </c:extLst>
          </c:dPt>
          <c:dLbls>
            <c:dLbl>
              <c:idx val="0"/>
              <c:layout>
                <c:manualLayout>
                  <c:x val="-0.18382204684706471"/>
                  <c:y val="-0.16119015325513281"/>
                </c:manualLayout>
              </c:layout>
              <c:tx>
                <c:rich>
                  <a:bodyPr/>
                  <a:lstStyle/>
                  <a:p>
                    <a:fld id="{0522A655-E9F3-46DE-A1BC-C3B772668313}" type="VALUE">
                      <a:rPr lang="en-US"/>
                      <a:pPr/>
                      <a:t>[VALUE]</a:t>
                    </a:fld>
                    <a:r>
                      <a:rPr lang="en-US" baseline="0"/>
                      <a:t>, </a:t>
                    </a:r>
                    <a:fld id="{1A97872D-575C-47EE-ACE0-14CF136CA190}" type="PERCENTAGE">
                      <a:rPr lang="en-US" sz="1000"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058-4A89-95EF-EF5217E7D450}"/>
                </c:ext>
              </c:extLst>
            </c:dLbl>
            <c:dLbl>
              <c:idx val="1"/>
              <c:layout>
                <c:manualLayout>
                  <c:x val="0.16364706819651856"/>
                  <c:y val="5.503341539087423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fld id="{F0010788-D96D-4545-92F5-79DFA6888ED6}" type="VALUE">
                      <a:rPr lang="en-US"/>
                      <a:pPr>
                        <a:defRPr>
                          <a:solidFill>
                            <a:schemeClr val="tx1">
                              <a:lumMod val="95000"/>
                              <a:lumOff val="5000"/>
                            </a:schemeClr>
                          </a:solidFill>
                        </a:defRPr>
                      </a:pPr>
                      <a:t>[VALUE]</a:t>
                    </a:fld>
                    <a:r>
                      <a:rPr lang="en-US" baseline="0"/>
                      <a:t>, </a:t>
                    </a:r>
                    <a:fld id="{D250042B-E91D-4D4B-9BA3-95408EBEB9B9}" type="PERCENTAGE">
                      <a:rPr lang="en-US" sz="1000" baseline="0"/>
                      <a:pPr>
                        <a:defRPr>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0917127922317302"/>
                      <c:h val="0.13184069536384008"/>
                    </c:manualLayout>
                  </c15:layout>
                  <c15:dlblFieldTable/>
                  <c15:showDataLabelsRange val="0"/>
                </c:ext>
                <c:ext xmlns:c16="http://schemas.microsoft.com/office/drawing/2014/chart" uri="{C3380CC4-5D6E-409C-BE32-E72D297353CC}">
                  <c16:uniqueId val="{00000003-8058-4A89-95EF-EF5217E7D4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Charts!$A$4:$A$6</c:f>
              <c:strCache>
                <c:ptCount val="2"/>
                <c:pt idx="0">
                  <c:v>Low Fat</c:v>
                </c:pt>
                <c:pt idx="1">
                  <c:v>Regular</c:v>
                </c:pt>
              </c:strCache>
            </c:strRef>
          </c:cat>
          <c:val>
            <c:numRef>
              <c:f>Charts!$B$4:$B$6</c:f>
              <c:numCache>
                <c:formatCode>"$"0.0,,"M"</c:formatCode>
                <c:ptCount val="2"/>
                <c:pt idx="0">
                  <c:v>776319.68840000057</c:v>
                </c:pt>
                <c:pt idx="1">
                  <c:v>425361.8043999995</c:v>
                </c:pt>
              </c:numCache>
            </c:numRef>
          </c:val>
          <c:extLst>
            <c:ext xmlns:c16="http://schemas.microsoft.com/office/drawing/2014/chart" uri="{C3380CC4-5D6E-409C-BE32-E72D297353CC}">
              <c16:uniqueId val="{00000004-8058-4A89-95EF-EF5217E7D45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751414653676765"/>
          <c:y val="0.57963779248234415"/>
          <c:w val="0.30367209395435735"/>
          <c:h val="0.3882218151693894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a:glow rad="228600">
        <a:schemeClr val="accent3">
          <a:satMod val="175000"/>
          <a:alpha val="40000"/>
        </a:schemeClr>
      </a:glow>
      <a:outerShdw blurRad="50800" dist="38100" dir="8100000" algn="tr" rotWithShape="0">
        <a:schemeClr val="tx1">
          <a:lumMod val="50000"/>
          <a:lumOff val="50000"/>
          <a:alpha val="40000"/>
        </a:schemeClr>
      </a:outerShdw>
      <a:softEdge rad="495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Dashboard .xlsx]Charts!PivotTable5</c:name>
    <c:fmtId val="19"/>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400" b="1"/>
              <a:t>Total Sales by Item Type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sp3d/>
        </c:spPr>
        <c:dLbl>
          <c:idx val="0"/>
          <c:layout>
            <c:manualLayout>
              <c:x val="9.235668789808911E-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dLbl>
          <c:idx val="0"/>
          <c:layout>
            <c:manualLayout>
              <c:x val="0.12738853503184708"/>
              <c:y val="-3.296703581959326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sp3d/>
        </c:spPr>
        <c:dLbl>
          <c:idx val="0"/>
          <c:layout>
            <c:manualLayout>
              <c:x val="0.31528662420382153"/>
              <c:y val="-6.5934071639185913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sp3d/>
        </c:spPr>
        <c:dLbl>
          <c:idx val="0"/>
          <c:layout>
            <c:manualLayout>
              <c:x val="6.0509554140127333E-2"/>
              <c:y val="-6.593407163918652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sp3d/>
        </c:spPr>
        <c:dLbl>
          <c:idx val="0"/>
          <c:layout>
            <c:manualLayout>
              <c:x val="7.0063694267515866E-2"/>
              <c:y val="-3.2967035819592956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a:sp3d/>
        </c:spPr>
        <c:dLbl>
          <c:idx val="0"/>
          <c:layout>
            <c:manualLayout>
              <c:x val="0.13694267515923567"/>
              <c:y val="-9.8901107458779485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sp3d/>
        </c:spPr>
        <c:dLbl>
          <c:idx val="0"/>
          <c:layout>
            <c:manualLayout>
              <c:x val="0.24840764331210191"/>
              <c:y val="-6.5934071639185913E-3"/>
            </c:manualLayout>
          </c:layout>
          <c:numFmt formatCode="0,&quot;K&quot;" sourceLinked="0"/>
          <c:spPr>
            <a:noFill/>
            <a:ln>
              <a:noFill/>
            </a:ln>
            <a:effectLst/>
          </c:spPr>
          <c:txPr>
            <a:bodyPr rot="0" spcFirstLastPara="1" vertOverflow="ellipsis" vert="horz" wrap="square" anchor="t"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a:sp3d/>
        </c:spPr>
        <c:dLbl>
          <c:idx val="0"/>
          <c:layout>
            <c:manualLayout>
              <c:x val="0.14649681528662414"/>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a:sp3d/>
        </c:spPr>
        <c:dLbl>
          <c:idx val="0"/>
          <c:layout>
            <c:manualLayout>
              <c:x val="8.9171974522292932E-2"/>
              <c:y val="-1.3186814327837183E-2"/>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a:sp3d/>
        </c:spPr>
        <c:dLbl>
          <c:idx val="0"/>
          <c:layout>
            <c:manualLayout>
              <c:x val="0.3184713375796178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a:sp3d/>
        </c:spPr>
        <c:dLbl>
          <c:idx val="0"/>
          <c:layout>
            <c:manualLayout>
              <c:x val="0.22929936305732485"/>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a:sp3d/>
        </c:spPr>
        <c:dLbl>
          <c:idx val="0"/>
          <c:layout>
            <c:manualLayout>
              <c:x val="0.2038216560509554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a:sp3d/>
        </c:spPr>
        <c:dLbl>
          <c:idx val="0"/>
          <c:layout>
            <c:manualLayout>
              <c:x val="0.18152866242038215"/>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a:sp3d/>
        </c:spPr>
        <c:dLbl>
          <c:idx val="0"/>
          <c:layout>
            <c:manualLayout>
              <c:x val="7.9617834394904455E-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a:sp3d/>
        </c:spPr>
        <c:dLbl>
          <c:idx val="0"/>
          <c:layout>
            <c:manualLayout>
              <c:x val="0.11146496815286619"/>
              <c:y val="-9.8901107458778878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50"/>
          </a:solidFill>
          <a:ln>
            <a:noFill/>
          </a:ln>
          <a:effectLst/>
          <a:sp3d/>
        </c:spPr>
        <c:dLbl>
          <c:idx val="0"/>
          <c:layout>
            <c:manualLayout>
              <c:x val="0.1751592356687898"/>
              <c:y val="-3.2967035819594166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bar"/>
        <c:grouping val="stacked"/>
        <c:varyColors val="0"/>
        <c:ser>
          <c:idx val="0"/>
          <c:order val="0"/>
          <c:tx>
            <c:strRef>
              <c:f>Charts!$B$12</c:f>
              <c:strCache>
                <c:ptCount val="1"/>
                <c:pt idx="0">
                  <c:v>Total</c:v>
                </c:pt>
              </c:strCache>
            </c:strRef>
          </c:tx>
          <c:spPr>
            <a:solidFill>
              <a:srgbClr val="00B050"/>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10-3D75-40A6-A96F-F132B529DB4C}"/>
              </c:ext>
            </c:extLst>
          </c:dPt>
          <c:dPt>
            <c:idx val="1"/>
            <c:invertIfNegative val="0"/>
            <c:bubble3D val="0"/>
            <c:spPr>
              <a:solidFill>
                <a:srgbClr val="00B050"/>
              </a:solidFill>
              <a:ln>
                <a:noFill/>
              </a:ln>
              <a:effectLst/>
              <a:sp3d/>
            </c:spPr>
            <c:extLst>
              <c:ext xmlns:c16="http://schemas.microsoft.com/office/drawing/2014/chart" uri="{C3380CC4-5D6E-409C-BE32-E72D297353CC}">
                <c16:uniqueId val="{0000000F-3D75-40A6-A96F-F132B529DB4C}"/>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E-3D75-40A6-A96F-F132B529DB4C}"/>
              </c:ext>
            </c:extLst>
          </c:dPt>
          <c:dPt>
            <c:idx val="3"/>
            <c:invertIfNegative val="0"/>
            <c:bubble3D val="0"/>
            <c:spPr>
              <a:solidFill>
                <a:srgbClr val="00B050"/>
              </a:solidFill>
              <a:ln>
                <a:noFill/>
              </a:ln>
              <a:effectLst/>
              <a:sp3d/>
            </c:spPr>
            <c:extLst>
              <c:ext xmlns:c16="http://schemas.microsoft.com/office/drawing/2014/chart" uri="{C3380CC4-5D6E-409C-BE32-E72D297353CC}">
                <c16:uniqueId val="{0000000D-3D75-40A6-A96F-F132B529DB4C}"/>
              </c:ext>
            </c:extLst>
          </c:dPt>
          <c:dPt>
            <c:idx val="4"/>
            <c:invertIfNegative val="0"/>
            <c:bubble3D val="0"/>
            <c:spPr>
              <a:solidFill>
                <a:srgbClr val="00B050"/>
              </a:solidFill>
              <a:ln>
                <a:noFill/>
              </a:ln>
              <a:effectLst/>
              <a:sp3d/>
            </c:spPr>
            <c:extLst>
              <c:ext xmlns:c16="http://schemas.microsoft.com/office/drawing/2014/chart" uri="{C3380CC4-5D6E-409C-BE32-E72D297353CC}">
                <c16:uniqueId val="{0000000C-3D75-40A6-A96F-F132B529DB4C}"/>
              </c:ext>
            </c:extLst>
          </c:dPt>
          <c:dPt>
            <c:idx val="5"/>
            <c:invertIfNegative val="0"/>
            <c:bubble3D val="0"/>
            <c:spPr>
              <a:solidFill>
                <a:srgbClr val="00B050"/>
              </a:solidFill>
              <a:ln>
                <a:noFill/>
              </a:ln>
              <a:effectLst/>
              <a:sp3d/>
            </c:spPr>
            <c:extLst>
              <c:ext xmlns:c16="http://schemas.microsoft.com/office/drawing/2014/chart" uri="{C3380CC4-5D6E-409C-BE32-E72D297353CC}">
                <c16:uniqueId val="{0000000B-3D75-40A6-A96F-F132B529DB4C}"/>
              </c:ext>
            </c:extLst>
          </c:dPt>
          <c:dPt>
            <c:idx val="6"/>
            <c:invertIfNegative val="0"/>
            <c:bubble3D val="0"/>
            <c:spPr>
              <a:solidFill>
                <a:srgbClr val="00B050"/>
              </a:solidFill>
              <a:ln>
                <a:noFill/>
              </a:ln>
              <a:effectLst/>
              <a:sp3d/>
            </c:spPr>
            <c:extLst>
              <c:ext xmlns:c16="http://schemas.microsoft.com/office/drawing/2014/chart" uri="{C3380CC4-5D6E-409C-BE32-E72D297353CC}">
                <c16:uniqueId val="{0000000A-3D75-40A6-A96F-F132B529DB4C}"/>
              </c:ext>
            </c:extLst>
          </c:dPt>
          <c:dPt>
            <c:idx val="7"/>
            <c:invertIfNegative val="0"/>
            <c:bubble3D val="0"/>
            <c:spPr>
              <a:solidFill>
                <a:srgbClr val="00B050"/>
              </a:solidFill>
              <a:ln>
                <a:noFill/>
              </a:ln>
              <a:effectLst/>
              <a:sp3d/>
            </c:spPr>
            <c:extLst>
              <c:ext xmlns:c16="http://schemas.microsoft.com/office/drawing/2014/chart" uri="{C3380CC4-5D6E-409C-BE32-E72D297353CC}">
                <c16:uniqueId val="{00000009-3D75-40A6-A96F-F132B529DB4C}"/>
              </c:ext>
            </c:extLst>
          </c:dPt>
          <c:dPt>
            <c:idx val="8"/>
            <c:invertIfNegative val="0"/>
            <c:bubble3D val="0"/>
            <c:spPr>
              <a:solidFill>
                <a:srgbClr val="00B050"/>
              </a:solidFill>
              <a:ln>
                <a:noFill/>
              </a:ln>
              <a:effectLst/>
              <a:sp3d/>
            </c:spPr>
            <c:extLst>
              <c:ext xmlns:c16="http://schemas.microsoft.com/office/drawing/2014/chart" uri="{C3380CC4-5D6E-409C-BE32-E72D297353CC}">
                <c16:uniqueId val="{00000008-3D75-40A6-A96F-F132B529DB4C}"/>
              </c:ext>
            </c:extLst>
          </c:dPt>
          <c:dPt>
            <c:idx val="9"/>
            <c:invertIfNegative val="0"/>
            <c:bubble3D val="0"/>
            <c:spPr>
              <a:solidFill>
                <a:srgbClr val="00B050"/>
              </a:solidFill>
              <a:ln>
                <a:noFill/>
              </a:ln>
              <a:effectLst/>
              <a:sp3d/>
            </c:spPr>
            <c:extLst>
              <c:ext xmlns:c16="http://schemas.microsoft.com/office/drawing/2014/chart" uri="{C3380CC4-5D6E-409C-BE32-E72D297353CC}">
                <c16:uniqueId val="{00000007-3D75-40A6-A96F-F132B529DB4C}"/>
              </c:ext>
            </c:extLst>
          </c:dPt>
          <c:dPt>
            <c:idx val="10"/>
            <c:invertIfNegative val="0"/>
            <c:bubble3D val="0"/>
            <c:spPr>
              <a:solidFill>
                <a:srgbClr val="00B050"/>
              </a:solidFill>
              <a:ln>
                <a:noFill/>
              </a:ln>
              <a:effectLst/>
              <a:sp3d/>
            </c:spPr>
            <c:extLst>
              <c:ext xmlns:c16="http://schemas.microsoft.com/office/drawing/2014/chart" uri="{C3380CC4-5D6E-409C-BE32-E72D297353CC}">
                <c16:uniqueId val="{00000006-3D75-40A6-A96F-F132B529DB4C}"/>
              </c:ext>
            </c:extLst>
          </c:dPt>
          <c:dPt>
            <c:idx val="11"/>
            <c:invertIfNegative val="0"/>
            <c:bubble3D val="0"/>
            <c:spPr>
              <a:solidFill>
                <a:srgbClr val="00B050"/>
              </a:solidFill>
              <a:ln>
                <a:noFill/>
              </a:ln>
              <a:effectLst/>
              <a:sp3d/>
            </c:spPr>
            <c:extLst>
              <c:ext xmlns:c16="http://schemas.microsoft.com/office/drawing/2014/chart" uri="{C3380CC4-5D6E-409C-BE32-E72D297353CC}">
                <c16:uniqueId val="{00000005-3D75-40A6-A96F-F132B529DB4C}"/>
              </c:ext>
            </c:extLst>
          </c:dPt>
          <c:dPt>
            <c:idx val="12"/>
            <c:invertIfNegative val="0"/>
            <c:bubble3D val="0"/>
            <c:spPr>
              <a:solidFill>
                <a:srgbClr val="00B050"/>
              </a:solidFill>
              <a:ln>
                <a:noFill/>
              </a:ln>
              <a:effectLst/>
              <a:sp3d/>
            </c:spPr>
            <c:extLst>
              <c:ext xmlns:c16="http://schemas.microsoft.com/office/drawing/2014/chart" uri="{C3380CC4-5D6E-409C-BE32-E72D297353CC}">
                <c16:uniqueId val="{00000004-3D75-40A6-A96F-F132B529DB4C}"/>
              </c:ext>
            </c:extLst>
          </c:dPt>
          <c:dPt>
            <c:idx val="13"/>
            <c:invertIfNegative val="0"/>
            <c:bubble3D val="0"/>
            <c:spPr>
              <a:solidFill>
                <a:srgbClr val="00B050"/>
              </a:solidFill>
              <a:ln>
                <a:noFill/>
              </a:ln>
              <a:effectLst/>
              <a:sp3d/>
            </c:spPr>
            <c:extLst>
              <c:ext xmlns:c16="http://schemas.microsoft.com/office/drawing/2014/chart" uri="{C3380CC4-5D6E-409C-BE32-E72D297353CC}">
                <c16:uniqueId val="{00000003-3D75-40A6-A96F-F132B529DB4C}"/>
              </c:ext>
            </c:extLst>
          </c:dPt>
          <c:dPt>
            <c:idx val="14"/>
            <c:invertIfNegative val="0"/>
            <c:bubble3D val="0"/>
            <c:spPr>
              <a:solidFill>
                <a:srgbClr val="00B050"/>
              </a:solidFill>
              <a:ln>
                <a:noFill/>
              </a:ln>
              <a:effectLst/>
              <a:sp3d/>
            </c:spPr>
            <c:extLst>
              <c:ext xmlns:c16="http://schemas.microsoft.com/office/drawing/2014/chart" uri="{C3380CC4-5D6E-409C-BE32-E72D297353CC}">
                <c16:uniqueId val="{00000002-3D75-40A6-A96F-F132B529DB4C}"/>
              </c:ext>
            </c:extLst>
          </c:dPt>
          <c:dPt>
            <c:idx val="15"/>
            <c:invertIfNegative val="0"/>
            <c:bubble3D val="0"/>
            <c:spPr>
              <a:solidFill>
                <a:srgbClr val="00B050"/>
              </a:solidFill>
              <a:ln>
                <a:noFill/>
              </a:ln>
              <a:effectLst/>
              <a:sp3d/>
            </c:spPr>
            <c:extLst>
              <c:ext xmlns:c16="http://schemas.microsoft.com/office/drawing/2014/chart" uri="{C3380CC4-5D6E-409C-BE32-E72D297353CC}">
                <c16:uniqueId val="{00000001-3D75-40A6-A96F-F132B529DB4C}"/>
              </c:ext>
            </c:extLst>
          </c:dPt>
          <c:dLbls>
            <c:dLbl>
              <c:idx val="0"/>
              <c:layout>
                <c:manualLayout>
                  <c:x val="0.1751592356687898"/>
                  <c:y val="-3.29670358195941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D75-40A6-A96F-F132B529DB4C}"/>
                </c:ext>
              </c:extLst>
            </c:dLbl>
            <c:dLbl>
              <c:idx val="1"/>
              <c:layout>
                <c:manualLayout>
                  <c:x val="0.11146496815286619"/>
                  <c:y val="-9.89011074587788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D75-40A6-A96F-F132B529DB4C}"/>
                </c:ext>
              </c:extLst>
            </c:dLbl>
            <c:dLbl>
              <c:idx val="2"/>
              <c:layout>
                <c:manualLayout>
                  <c:x val="7.961783439490445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D75-40A6-A96F-F132B529DB4C}"/>
                </c:ext>
              </c:extLst>
            </c:dLbl>
            <c:dLbl>
              <c:idx val="3"/>
              <c:layout>
                <c:manualLayout>
                  <c:x val="0.1815286624203821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D75-40A6-A96F-F132B529DB4C}"/>
                </c:ext>
              </c:extLst>
            </c:dLbl>
            <c:dLbl>
              <c:idx val="4"/>
              <c:layout>
                <c:manualLayout>
                  <c:x val="0.2038216560509554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D75-40A6-A96F-F132B529DB4C}"/>
                </c:ext>
              </c:extLst>
            </c:dLbl>
            <c:dLbl>
              <c:idx val="5"/>
              <c:layout>
                <c:manualLayout>
                  <c:x val="0.229299363057324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D75-40A6-A96F-F132B529DB4C}"/>
                </c:ext>
              </c:extLst>
            </c:dLbl>
            <c:dLbl>
              <c:idx val="6"/>
              <c:layout>
                <c:manualLayout>
                  <c:x val="0.3184713375796178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D75-40A6-A96F-F132B529DB4C}"/>
                </c:ext>
              </c:extLst>
            </c:dLbl>
            <c:dLbl>
              <c:idx val="7"/>
              <c:layout>
                <c:manualLayout>
                  <c:x val="8.9171974522292932E-2"/>
                  <c:y val="-1.3186814327837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75-40A6-A96F-F132B529DB4C}"/>
                </c:ext>
              </c:extLst>
            </c:dLbl>
            <c:dLbl>
              <c:idx val="8"/>
              <c:layout>
                <c:manualLayout>
                  <c:x val="0.1464968152866241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75-40A6-A96F-F132B529DB4C}"/>
                </c:ext>
              </c:extLst>
            </c:dLbl>
            <c:dLbl>
              <c:idx val="9"/>
              <c:layout>
                <c:manualLayout>
                  <c:x val="0.24840764331210191"/>
                  <c:y val="-6.5934071639185913E-3"/>
                </c:manualLayout>
              </c:layout>
              <c:numFmt formatCode="0,&quot;K&quot;" sourceLinked="0"/>
              <c:spPr>
                <a:noFill/>
                <a:ln>
                  <a:noFill/>
                </a:ln>
                <a:effectLst/>
              </c:spPr>
              <c:txPr>
                <a:bodyPr rot="0" spcFirstLastPara="1" vertOverflow="ellipsis" vert="horz" wrap="square" anchor="t"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75-40A6-A96F-F132B529DB4C}"/>
                </c:ext>
              </c:extLst>
            </c:dLbl>
            <c:dLbl>
              <c:idx val="10"/>
              <c:layout>
                <c:manualLayout>
                  <c:x val="0.13694267515923567"/>
                  <c:y val="-9.89011074587794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75-40A6-A96F-F132B529DB4C}"/>
                </c:ext>
              </c:extLst>
            </c:dLbl>
            <c:dLbl>
              <c:idx val="11"/>
              <c:layout>
                <c:manualLayout>
                  <c:x val="7.0063694267515866E-2"/>
                  <c:y val="-3.29670358195929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75-40A6-A96F-F132B529DB4C}"/>
                </c:ext>
              </c:extLst>
            </c:dLbl>
            <c:dLbl>
              <c:idx val="12"/>
              <c:layout>
                <c:manualLayout>
                  <c:x val="6.0509554140127333E-2"/>
                  <c:y val="-6.5934071639186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75-40A6-A96F-F132B529DB4C}"/>
                </c:ext>
              </c:extLst>
            </c:dLbl>
            <c:dLbl>
              <c:idx val="13"/>
              <c:layout>
                <c:manualLayout>
                  <c:x val="0.31528662420382153"/>
                  <c:y val="-6.59340716391859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75-40A6-A96F-F132B529DB4C}"/>
                </c:ext>
              </c:extLst>
            </c:dLbl>
            <c:dLbl>
              <c:idx val="14"/>
              <c:layout>
                <c:manualLayout>
                  <c:x val="0.12738853503184708"/>
                  <c:y val="-3.2967035819593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75-40A6-A96F-F132B529DB4C}"/>
                </c:ext>
              </c:extLst>
            </c:dLbl>
            <c:dLbl>
              <c:idx val="15"/>
              <c:layout>
                <c:manualLayout>
                  <c:x val="9.2356687898089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75-40A6-A96F-F132B529DB4C}"/>
                </c:ext>
              </c:extLst>
            </c:dLbl>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Charts!$A$13:$A$29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Charts!$B$13:$B$29</c:f>
              <c:numCache>
                <c:formatCode>"$"0.0,,"M"</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3D75-40A6-A96F-F132B529DB4C}"/>
            </c:ext>
          </c:extLst>
        </c:ser>
        <c:dLbls>
          <c:showLegendKey val="0"/>
          <c:showVal val="1"/>
          <c:showCatName val="0"/>
          <c:showSerName val="0"/>
          <c:showPercent val="0"/>
          <c:showBubbleSize val="0"/>
        </c:dLbls>
        <c:gapWidth val="150"/>
        <c:shape val="box"/>
        <c:axId val="2609952"/>
        <c:axId val="1666052832"/>
        <c:axId val="0"/>
      </c:bar3DChart>
      <c:catAx>
        <c:axId val="260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666052832"/>
        <c:crosses val="autoZero"/>
        <c:auto val="1"/>
        <c:lblAlgn val="ctr"/>
        <c:lblOffset val="100"/>
        <c:noMultiLvlLbl val="0"/>
      </c:catAx>
      <c:valAx>
        <c:axId val="16660528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6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01600">
        <a:schemeClr val="accent3">
          <a:satMod val="175000"/>
          <a:alpha val="40000"/>
        </a:schemeClr>
      </a:glow>
      <a:outerShdw blurRad="50800" dist="38100" dir="5400000" algn="t" rotWithShape="0">
        <a:schemeClr val="bg2">
          <a:lumMod val="75000"/>
          <a:alpha val="40000"/>
        </a:scheme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With Dashboard .xlsx]Charts!PivotTable6</c:name>
    <c:fmtId val="29"/>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8.3333333333332829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8.3333333333333332E-3"/>
              <c:y val="-0.2962962962962963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788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6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9444444444444445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222222222222195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2222222222222195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666666666666666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8.3333333333332829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9444444444444445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8.3333333333333332E-3"/>
              <c:y val="-0.2962962962962963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3888888888888788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dLbl>
          <c:idx val="0"/>
          <c:layout>
            <c:manualLayout>
              <c:x val="2.2222222222222195E-2"/>
              <c:y val="-0.22685185185185186"/>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dLbl>
          <c:idx val="0"/>
          <c:layout>
            <c:manualLayout>
              <c:x val="1.6666666666666666E-2"/>
              <c:y val="-0.15277777777777779"/>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dLbl>
          <c:idx val="0"/>
          <c:layout>
            <c:manualLayout>
              <c:x val="8.3333333333332829E-3"/>
              <c:y val="-0.26388888888888895"/>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dLbl>
          <c:idx val="0"/>
          <c:layout>
            <c:manualLayout>
              <c:x val="1.9444444444444445E-2"/>
              <c:y val="-0.16666666666666674"/>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dLbl>
          <c:idx val="0"/>
          <c:layout>
            <c:manualLayout>
              <c:x val="8.3333333333333332E-3"/>
              <c:y val="-0.29629629629629634"/>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dLbl>
          <c:idx val="0"/>
          <c:layout>
            <c:manualLayout>
              <c:x val="1.3888888888888788E-2"/>
              <c:y val="-0.18981481481481483"/>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Charts!$G$12</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0-472A-45B5-8678-1C13E1EDEB1C}"/>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1-472A-45B5-8678-1C13E1EDEB1C}"/>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2-472A-45B5-8678-1C13E1EDEB1C}"/>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3-472A-45B5-8678-1C13E1EDEB1C}"/>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4-472A-45B5-8678-1C13E1EDEB1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5-472A-45B5-8678-1C13E1EDEB1C}"/>
              </c:ext>
            </c:extLst>
          </c:dPt>
          <c:dLbls>
            <c:dLbl>
              <c:idx val="0"/>
              <c:layout>
                <c:manualLayout>
                  <c:x val="2.2222222222222195E-2"/>
                  <c:y val="-0.2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2A-45B5-8678-1C13E1EDEB1C}"/>
                </c:ext>
              </c:extLst>
            </c:dLbl>
            <c:dLbl>
              <c:idx val="1"/>
              <c:layout>
                <c:manualLayout>
                  <c:x val="1.6666666666666666E-2"/>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2A-45B5-8678-1C13E1EDEB1C}"/>
                </c:ext>
              </c:extLst>
            </c:dLbl>
            <c:dLbl>
              <c:idx val="2"/>
              <c:layout>
                <c:manualLayout>
                  <c:x val="8.3333333333332829E-3"/>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2A-45B5-8678-1C13E1EDEB1C}"/>
                </c:ext>
              </c:extLst>
            </c:dLbl>
            <c:dLbl>
              <c:idx val="3"/>
              <c:layout>
                <c:manualLayout>
                  <c:x val="1.9444444444444445E-2"/>
                  <c:y val="-0.166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2A-45B5-8678-1C13E1EDEB1C}"/>
                </c:ext>
              </c:extLst>
            </c:dLbl>
            <c:dLbl>
              <c:idx val="4"/>
              <c:layout>
                <c:manualLayout>
                  <c:x val="8.3333333333333332E-3"/>
                  <c:y val="-0.29629629629629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2A-45B5-8678-1C13E1EDEB1C}"/>
                </c:ext>
              </c:extLst>
            </c:dLbl>
            <c:dLbl>
              <c:idx val="5"/>
              <c:layout>
                <c:manualLayout>
                  <c:x val="1.3888888888888788E-2"/>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2A-45B5-8678-1C13E1EDEB1C}"/>
                </c:ext>
              </c:extLst>
            </c:dLbl>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Charts!$F$13:$F$22</c:f>
              <c:multiLvlStrCache>
                <c:ptCount val="6"/>
                <c:lvl>
                  <c:pt idx="0">
                    <c:v>Low Fat</c:v>
                  </c:pt>
                  <c:pt idx="1">
                    <c:v>Regular</c:v>
                  </c:pt>
                  <c:pt idx="2">
                    <c:v>Low Fat</c:v>
                  </c:pt>
                  <c:pt idx="3">
                    <c:v>Regular</c:v>
                  </c:pt>
                  <c:pt idx="4">
                    <c:v>Low Fat</c:v>
                  </c:pt>
                  <c:pt idx="5">
                    <c:v>Regular</c:v>
                  </c:pt>
                </c:lvl>
                <c:lvl>
                  <c:pt idx="0">
                    <c:v>Tier 1</c:v>
                  </c:pt>
                  <c:pt idx="2">
                    <c:v>Tier 2</c:v>
                  </c:pt>
                  <c:pt idx="4">
                    <c:v>Tier 3</c:v>
                  </c:pt>
                </c:lvl>
              </c:multiLvlStrCache>
            </c:multiLvlStrRef>
          </c:cat>
          <c:val>
            <c:numRef>
              <c:f>Charts!$G$13:$G$22</c:f>
              <c:numCache>
                <c:formatCode>"$"0.0,,"M"</c:formatCode>
                <c:ptCount val="6"/>
                <c:pt idx="0">
                  <c:v>215047.9126000001</c:v>
                </c:pt>
                <c:pt idx="1">
                  <c:v>121349.89940000001</c:v>
                </c:pt>
                <c:pt idx="2">
                  <c:v>254464.77940000014</c:v>
                </c:pt>
                <c:pt idx="3">
                  <c:v>138685.86819999994</c:v>
                </c:pt>
                <c:pt idx="4">
                  <c:v>306806.99640000012</c:v>
                </c:pt>
                <c:pt idx="5">
                  <c:v>165326.0368</c:v>
                </c:pt>
              </c:numCache>
            </c:numRef>
          </c:val>
          <c:extLst>
            <c:ext xmlns:c16="http://schemas.microsoft.com/office/drawing/2014/chart" uri="{C3380CC4-5D6E-409C-BE32-E72D297353CC}">
              <c16:uniqueId val="{00000006-472A-45B5-8678-1C13E1EDEB1C}"/>
            </c:ext>
          </c:extLst>
        </c:ser>
        <c:dLbls>
          <c:showLegendKey val="0"/>
          <c:showVal val="1"/>
          <c:showCatName val="0"/>
          <c:showSerName val="0"/>
          <c:showPercent val="0"/>
          <c:showBubbleSize val="0"/>
        </c:dLbls>
        <c:gapWidth val="150"/>
        <c:shape val="box"/>
        <c:axId val="590658704"/>
        <c:axId val="590660144"/>
        <c:axId val="0"/>
      </c:bar3DChart>
      <c:catAx>
        <c:axId val="590658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590660144"/>
        <c:crosses val="autoZero"/>
        <c:auto val="1"/>
        <c:lblAlgn val="ctr"/>
        <c:lblOffset val="100"/>
        <c:noMultiLvlLbl val="0"/>
      </c:catAx>
      <c:valAx>
        <c:axId val="590660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59065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a:glow rad="101600">
        <a:schemeClr val="accent3">
          <a:satMod val="175000"/>
          <a:alpha val="40000"/>
        </a:schemeClr>
      </a:glow>
      <a:outerShdw blurRad="50800" dist="38100" dir="5400000" algn="t" rotWithShape="0">
        <a:schemeClr val="tx1">
          <a:lumMod val="65000"/>
          <a:lumOff val="35000"/>
          <a:alpha val="40000"/>
        </a:scheme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With Dashboard .xlsx]Charts!PivotTable1</c:name>
    <c:fmtId val="34"/>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400" b="1"/>
              <a:t>Sales</a:t>
            </a:r>
            <a:r>
              <a:rPr lang="en-US" sz="1400" b="1" baseline="0"/>
              <a:t> by outlet establishment years </a:t>
            </a:r>
            <a:endParaRPr lang="en-US" sz="1400"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Charts!$L$12</c:f>
              <c:strCache>
                <c:ptCount val="1"/>
                <c:pt idx="0">
                  <c:v>Total</c:v>
                </c:pt>
              </c:strCache>
            </c:strRef>
          </c:tx>
          <c:spPr>
            <a:ln w="47625" cap="rnd">
              <a:solidFill>
                <a:schemeClr val="accent6"/>
              </a:solidFill>
              <a:round/>
            </a:ln>
            <a:effectLst/>
          </c:spPr>
          <c:marker>
            <c:symbol val="none"/>
          </c:marker>
          <c:trendline>
            <c:spPr>
              <a:ln w="19050" cap="rnd">
                <a:solidFill>
                  <a:schemeClr val="accent1"/>
                </a:solidFill>
                <a:prstDash val="sysDot"/>
              </a:ln>
              <a:effectLst/>
            </c:spPr>
            <c:trendlineType val="linear"/>
            <c:dispRSqr val="0"/>
            <c:dispEq val="0"/>
          </c:trendline>
          <c:cat>
            <c:strRef>
              <c:f>Charts!$K$13:$K$22</c:f>
              <c:strCache>
                <c:ptCount val="9"/>
                <c:pt idx="0">
                  <c:v>2011</c:v>
                </c:pt>
                <c:pt idx="1">
                  <c:v>2012</c:v>
                </c:pt>
                <c:pt idx="2">
                  <c:v>2014</c:v>
                </c:pt>
                <c:pt idx="3">
                  <c:v>2015</c:v>
                </c:pt>
                <c:pt idx="4">
                  <c:v>2016</c:v>
                </c:pt>
                <c:pt idx="5">
                  <c:v>2017</c:v>
                </c:pt>
                <c:pt idx="6">
                  <c:v>2018</c:v>
                </c:pt>
                <c:pt idx="7">
                  <c:v>2020</c:v>
                </c:pt>
                <c:pt idx="8">
                  <c:v>2022</c:v>
                </c:pt>
              </c:strCache>
            </c:strRef>
          </c:cat>
          <c:val>
            <c:numRef>
              <c:f>Charts!$L$13:$L$22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99DF-4DC7-9389-F7B0FA3A8665}"/>
            </c:ext>
          </c:extLst>
        </c:ser>
        <c:dLbls>
          <c:dLblPos val="t"/>
          <c:showLegendKey val="0"/>
          <c:showVal val="0"/>
          <c:showCatName val="0"/>
          <c:showSerName val="0"/>
          <c:showPercent val="0"/>
          <c:showBubbleSize val="0"/>
        </c:dLbls>
        <c:smooth val="0"/>
        <c:axId val="1077494080"/>
        <c:axId val="1077495040"/>
      </c:lineChart>
      <c:catAx>
        <c:axId val="1077494080"/>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r>
                  <a:rPr lang="en-US"/>
                  <a:t>Outlet establishment year</a:t>
                </a:r>
              </a:p>
            </c:rich>
          </c:tx>
          <c:layout>
            <c:manualLayout>
              <c:xMode val="edge"/>
              <c:yMode val="edge"/>
              <c:x val="0.31895894569595956"/>
              <c:y val="0.87657548979430855"/>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077495040"/>
        <c:crosses val="autoZero"/>
        <c:auto val="1"/>
        <c:lblAlgn val="ctr"/>
        <c:lblOffset val="100"/>
        <c:noMultiLvlLbl val="0"/>
      </c:catAx>
      <c:valAx>
        <c:axId val="107749504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07749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63500">
        <a:schemeClr val="bg2">
          <a:lumMod val="75000"/>
          <a:alpha val="40000"/>
        </a:schemeClr>
      </a:glow>
      <a:outerShdw blurRad="50800" dist="38100" dir="5400000" algn="t" rotWithShape="0">
        <a:schemeClr val="bg2">
          <a:lumMod val="75000"/>
          <a:alpha val="40000"/>
        </a:scheme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With Dashboard .xlsx]Charts!PivotTable2</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outlet size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numFmt formatCode="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rgbClr val="00B050"/>
          </a:solidFill>
          <a:ln w="19050">
            <a:solidFill>
              <a:schemeClr val="lt1"/>
            </a:solidFill>
          </a:ln>
          <a:effectLst/>
        </c:spPr>
      </c:pivotFmt>
    </c:pivotFmts>
    <c:plotArea>
      <c:layout>
        <c:manualLayout>
          <c:layoutTarget val="inner"/>
          <c:xMode val="edge"/>
          <c:yMode val="edge"/>
          <c:x val="6.6171550653546587E-2"/>
          <c:y val="0.19748526881159723"/>
          <c:w val="0.5606381131197552"/>
          <c:h val="0.74349524604126471"/>
        </c:manualLayout>
      </c:layout>
      <c:doughnutChart>
        <c:varyColors val="1"/>
        <c:ser>
          <c:idx val="0"/>
          <c:order val="0"/>
          <c:tx>
            <c:strRef>
              <c:f>Charts!$E$30</c:f>
              <c:strCache>
                <c:ptCount val="1"/>
                <c:pt idx="0">
                  <c:v>Total</c:v>
                </c:pt>
              </c:strCache>
            </c:strRef>
          </c:tx>
          <c:spPr>
            <a:solidFill>
              <a:srgbClr val="FFFF00"/>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ED54-4863-B6DE-956F5EF19A2D}"/>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D54-4863-B6DE-956F5EF19A2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ED54-4863-B6DE-956F5EF19A2D}"/>
              </c:ext>
            </c:extLst>
          </c:dPt>
          <c:dLbls>
            <c:numFmt formatCode="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Charts!$D$31:$D$34</c:f>
              <c:strCache>
                <c:ptCount val="3"/>
                <c:pt idx="0">
                  <c:v>High</c:v>
                </c:pt>
                <c:pt idx="1">
                  <c:v>Medium</c:v>
                </c:pt>
                <c:pt idx="2">
                  <c:v>Small</c:v>
                </c:pt>
              </c:strCache>
            </c:strRef>
          </c:cat>
          <c:val>
            <c:numRef>
              <c:f>Charts!$E$31:$E$34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D54-4863-B6DE-956F5EF19A2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740400381172057"/>
          <c:y val="0.45337948236602876"/>
          <c:w val="0.31998651034724096"/>
          <c:h val="0.5026224991743580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127000">
        <a:schemeClr val="bg2">
          <a:lumMod val="75000"/>
        </a:schemeClr>
      </a:glow>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With Dashboard .xlsx]Charts!PivotTable3</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outlet</a:t>
            </a:r>
            <a:r>
              <a:rPr lang="en-US" baseline="0"/>
              <a:t>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Charts!$C$45</c:f>
              <c:strCache>
                <c:ptCount val="1"/>
                <c:pt idx="0">
                  <c:v>Total</c:v>
                </c:pt>
              </c:strCache>
            </c:strRef>
          </c:tx>
          <c:spPr>
            <a:solidFill>
              <a:srgbClr val="00B05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Charts!$B$46:$B$50</c:f>
              <c:strCache>
                <c:ptCount val="4"/>
                <c:pt idx="0">
                  <c:v>Grocery Store</c:v>
                </c:pt>
                <c:pt idx="1">
                  <c:v>Supermarket Type1</c:v>
                </c:pt>
                <c:pt idx="2">
                  <c:v>Supermarket Type2</c:v>
                </c:pt>
                <c:pt idx="3">
                  <c:v>Supermarket Type3</c:v>
                </c:pt>
              </c:strCache>
            </c:strRef>
          </c:cat>
          <c:val>
            <c:numRef>
              <c:f>Charts!$C$46:$C$50</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E550-41DE-988E-CD7F7775819A}"/>
            </c:ext>
          </c:extLst>
        </c:ser>
        <c:dLbls>
          <c:dLblPos val="ctr"/>
          <c:showLegendKey val="0"/>
          <c:showVal val="1"/>
          <c:showCatName val="0"/>
          <c:showSerName val="0"/>
          <c:showPercent val="0"/>
          <c:showBubbleSize val="0"/>
        </c:dLbls>
        <c:gapWidth val="150"/>
        <c:overlap val="100"/>
        <c:axId val="1307010000"/>
        <c:axId val="1307012880"/>
      </c:barChart>
      <c:catAx>
        <c:axId val="130701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12880"/>
        <c:crosses val="autoZero"/>
        <c:auto val="1"/>
        <c:lblAlgn val="ctr"/>
        <c:lblOffset val="100"/>
        <c:noMultiLvlLbl val="0"/>
      </c:catAx>
      <c:valAx>
        <c:axId val="13070128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1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101600">
        <a:schemeClr val="accent3">
          <a:satMod val="175000"/>
          <a:alpha val="40000"/>
        </a:schemeClr>
      </a:glow>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With Dashboard .xlsx]Charts!PivotTable3</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Charts!$B$46:$B$50</c:f>
              <c:strCache>
                <c:ptCount val="4"/>
                <c:pt idx="0">
                  <c:v>Grocery Store</c:v>
                </c:pt>
                <c:pt idx="1">
                  <c:v>Supermarket Type1</c:v>
                </c:pt>
                <c:pt idx="2">
                  <c:v>Supermarket Type2</c:v>
                </c:pt>
                <c:pt idx="3">
                  <c:v>Supermarket Type3</c:v>
                </c:pt>
              </c:strCache>
            </c:strRef>
          </c:cat>
          <c:val>
            <c:numRef>
              <c:f>Charts!$C$46:$C$50</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D44D-4410-A810-E43188422CDE}"/>
            </c:ext>
          </c:extLst>
        </c:ser>
        <c:dLbls>
          <c:dLblPos val="outEnd"/>
          <c:showLegendKey val="0"/>
          <c:showVal val="1"/>
          <c:showCatName val="0"/>
          <c:showSerName val="0"/>
          <c:showPercent val="0"/>
          <c:showBubbleSize val="0"/>
        </c:dLbls>
        <c:gapWidth val="219"/>
        <c:overlap val="-27"/>
        <c:axId val="1307046000"/>
        <c:axId val="1307046960"/>
      </c:barChart>
      <c:catAx>
        <c:axId val="13070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46960"/>
        <c:crosses val="autoZero"/>
        <c:auto val="1"/>
        <c:lblAlgn val="ctr"/>
        <c:lblOffset val="100"/>
        <c:noMultiLvlLbl val="0"/>
      </c:catAx>
      <c:valAx>
        <c:axId val="130704696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4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127000">
        <a:schemeClr val="bg2">
          <a:lumMod val="75000"/>
        </a:schemeClr>
      </a:glow>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121920</xdr:colOff>
      <xdr:row>1</xdr:row>
      <xdr:rowOff>7620</xdr:rowOff>
    </xdr:from>
    <xdr:to>
      <xdr:col>8</xdr:col>
      <xdr:colOff>609600</xdr:colOff>
      <xdr:row>14</xdr:row>
      <xdr:rowOff>127635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6142DFF-7877-8C88-7574-A1E075DC93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347460" y="3733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0</xdr:row>
      <xdr:rowOff>342900</xdr:rowOff>
    </xdr:from>
    <xdr:to>
      <xdr:col>11</xdr:col>
      <xdr:colOff>411480</xdr:colOff>
      <xdr:row>14</xdr:row>
      <xdr:rowOff>97155</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BFA8F859-252B-8D24-4FC3-EBDCE73BD41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161020" y="3429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511775</xdr:colOff>
      <xdr:row>3</xdr:row>
      <xdr:rowOff>110181</xdr:rowOff>
    </xdr:from>
    <xdr:to>
      <xdr:col>24</xdr:col>
      <xdr:colOff>595595</xdr:colOff>
      <xdr:row>35</xdr:row>
      <xdr:rowOff>177465</xdr:rowOff>
    </xdr:to>
    <xdr:sp macro="" textlink="">
      <xdr:nvSpPr>
        <xdr:cNvPr id="3" name="Rectangle 2">
          <a:extLst>
            <a:ext uri="{FF2B5EF4-FFF2-40B4-BE49-F238E27FC236}">
              <a16:creationId xmlns:a16="http://schemas.microsoft.com/office/drawing/2014/main" id="{C3BE5D50-F19C-4F9F-98B9-1C005229E88C}"/>
            </a:ext>
          </a:extLst>
        </xdr:cNvPr>
        <xdr:cNvSpPr/>
      </xdr:nvSpPr>
      <xdr:spPr>
        <a:xfrm>
          <a:off x="1850424" y="697127"/>
          <a:ext cx="14808955" cy="6328041"/>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584200</xdr:colOff>
      <xdr:row>3</xdr:row>
      <xdr:rowOff>186267</xdr:rowOff>
    </xdr:from>
    <xdr:to>
      <xdr:col>5</xdr:col>
      <xdr:colOff>406400</xdr:colOff>
      <xdr:row>35</xdr:row>
      <xdr:rowOff>110066</xdr:rowOff>
    </xdr:to>
    <xdr:sp macro="" textlink="">
      <xdr:nvSpPr>
        <xdr:cNvPr id="4" name="Rectangle: Single Corner Rounded 3">
          <a:extLst>
            <a:ext uri="{FF2B5EF4-FFF2-40B4-BE49-F238E27FC236}">
              <a16:creationId xmlns:a16="http://schemas.microsoft.com/office/drawing/2014/main" id="{3D150DF6-197B-E5E4-E6EC-52F7E26DA875}"/>
            </a:ext>
          </a:extLst>
        </xdr:cNvPr>
        <xdr:cNvSpPr/>
      </xdr:nvSpPr>
      <xdr:spPr>
        <a:xfrm>
          <a:off x="1921933" y="770467"/>
          <a:ext cx="1828800" cy="6155266"/>
        </a:xfrm>
        <a:prstGeom prst="round1Rect">
          <a:avLst/>
        </a:prstGeom>
        <a:solidFill>
          <a:srgbClr val="E9F820"/>
        </a:solidFill>
        <a:ln>
          <a:noFill/>
        </a:ln>
        <a:effectLst>
          <a:glow rad="63500">
            <a:schemeClr val="accent3">
              <a:satMod val="175000"/>
              <a:alpha val="40000"/>
            </a:schemeClr>
          </a:glow>
          <a:outerShdw blurRad="50800" dist="38100" dir="8100000" algn="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618067</xdr:colOff>
      <xdr:row>5</xdr:row>
      <xdr:rowOff>38100</xdr:rowOff>
    </xdr:from>
    <xdr:to>
      <xdr:col>5</xdr:col>
      <xdr:colOff>330201</xdr:colOff>
      <xdr:row>10</xdr:row>
      <xdr:rowOff>169334</xdr:rowOff>
    </xdr:to>
    <xdr:sp macro="" textlink="">
      <xdr:nvSpPr>
        <xdr:cNvPr id="5" name="TextBox 4">
          <a:extLst>
            <a:ext uri="{FF2B5EF4-FFF2-40B4-BE49-F238E27FC236}">
              <a16:creationId xmlns:a16="http://schemas.microsoft.com/office/drawing/2014/main" id="{1593278B-CADA-C2C1-8BAA-68671320DA9E}"/>
            </a:ext>
          </a:extLst>
        </xdr:cNvPr>
        <xdr:cNvSpPr txBox="1"/>
      </xdr:nvSpPr>
      <xdr:spPr>
        <a:xfrm>
          <a:off x="1955800" y="1011767"/>
          <a:ext cx="1718734" cy="1104900"/>
        </a:xfrm>
        <a:prstGeom prst="rect">
          <a:avLst/>
        </a:prstGeom>
        <a:solidFill>
          <a:srgbClr val="E9F8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latin typeface="Segoe UI Black" panose="020B0A02040204020203" pitchFamily="34" charset="0"/>
              <a:ea typeface="Segoe UI Black" panose="020B0A02040204020203" pitchFamily="34" charset="0"/>
            </a:rPr>
            <a:t>Blink</a:t>
          </a:r>
          <a:r>
            <a:rPr lang="en-US" sz="3600" b="1">
              <a:solidFill>
                <a:schemeClr val="accent6">
                  <a:lumMod val="75000"/>
                </a:schemeClr>
              </a:solidFill>
              <a:latin typeface="Segoe UI Black" panose="020B0A02040204020203" pitchFamily="34" charset="0"/>
              <a:ea typeface="Segoe UI Black" panose="020B0A02040204020203" pitchFamily="34" charset="0"/>
            </a:rPr>
            <a:t>it</a:t>
          </a:r>
        </a:p>
        <a:p>
          <a:r>
            <a:rPr lang="en-US" sz="1200" b="1">
              <a:solidFill>
                <a:schemeClr val="tx1"/>
              </a:solidFill>
            </a:rPr>
            <a:t>India's last minute app</a:t>
          </a:r>
        </a:p>
      </xdr:txBody>
    </xdr:sp>
    <xdr:clientData/>
  </xdr:twoCellAnchor>
  <xdr:twoCellAnchor>
    <xdr:from>
      <xdr:col>5</xdr:col>
      <xdr:colOff>558802</xdr:colOff>
      <xdr:row>4</xdr:row>
      <xdr:rowOff>40918</xdr:rowOff>
    </xdr:from>
    <xdr:to>
      <xdr:col>9</xdr:col>
      <xdr:colOff>245533</xdr:colOff>
      <xdr:row>8</xdr:row>
      <xdr:rowOff>181342</xdr:rowOff>
    </xdr:to>
    <xdr:sp macro="" textlink="'Main KPIs'!A13">
      <xdr:nvSpPr>
        <xdr:cNvPr id="11" name="Rectangle: Diagonal Corners Rounded 10">
          <a:extLst>
            <a:ext uri="{FF2B5EF4-FFF2-40B4-BE49-F238E27FC236}">
              <a16:creationId xmlns:a16="http://schemas.microsoft.com/office/drawing/2014/main" id="{2C40ED52-78F3-DA4B-149A-E37F84940240}"/>
            </a:ext>
          </a:extLst>
        </xdr:cNvPr>
        <xdr:cNvSpPr/>
      </xdr:nvSpPr>
      <xdr:spPr>
        <a:xfrm>
          <a:off x="3903135" y="819851"/>
          <a:ext cx="2362198" cy="919358"/>
        </a:xfrm>
        <a:prstGeom prst="round2DiagRect">
          <a:avLst/>
        </a:prstGeom>
        <a:gradFill flip="none" rotWithShape="1">
          <a:gsLst>
            <a:gs pos="94000">
              <a:srgbClr val="92D050"/>
            </a:gs>
            <a:gs pos="0">
              <a:srgbClr val="FFFF00"/>
            </a:gs>
            <a:gs pos="69000">
              <a:schemeClr val="bg1">
                <a:shade val="67500"/>
                <a:satMod val="115000"/>
              </a:schemeClr>
            </a:gs>
            <a:gs pos="100000">
              <a:schemeClr val="bg1">
                <a:shade val="100000"/>
                <a:satMod val="115000"/>
              </a:schemeClr>
            </a:gs>
          </a:gsLst>
          <a:lin ang="10800000" scaled="1"/>
          <a:tileRect/>
        </a:gradFill>
        <a:ln>
          <a:solidFill>
            <a:schemeClr val="accent6">
              <a:lumMod val="60000"/>
              <a:lumOff val="40000"/>
            </a:schemeClr>
          </a:solid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5E7F1B-37C9-44F2-8148-80A907747698}" type="TxLink">
            <a:rPr lang="en-US" sz="2400" b="0" i="0" u="none" strike="noStrike">
              <a:solidFill>
                <a:srgbClr val="000000"/>
              </a:solidFill>
              <a:latin typeface="Calibri"/>
              <a:ea typeface="Calibri"/>
              <a:cs typeface="Calibri"/>
            </a:rPr>
            <a:pPr algn="ctr"/>
            <a:t>$0.5M</a:t>
          </a:fld>
          <a:endParaRPr lang="en-US" sz="2400"/>
        </a:p>
      </xdr:txBody>
    </xdr:sp>
    <xdr:clientData/>
  </xdr:twoCellAnchor>
  <xdr:twoCellAnchor>
    <xdr:from>
      <xdr:col>9</xdr:col>
      <xdr:colOff>371866</xdr:colOff>
      <xdr:row>4</xdr:row>
      <xdr:rowOff>1</xdr:rowOff>
    </xdr:from>
    <xdr:to>
      <xdr:col>13</xdr:col>
      <xdr:colOff>338666</xdr:colOff>
      <xdr:row>8</xdr:row>
      <xdr:rowOff>140425</xdr:rowOff>
    </xdr:to>
    <xdr:sp macro="" textlink="'Main KPIs'!B13">
      <xdr:nvSpPr>
        <xdr:cNvPr id="13" name="Rectangle: Diagonal Corners Rounded 12">
          <a:extLst>
            <a:ext uri="{FF2B5EF4-FFF2-40B4-BE49-F238E27FC236}">
              <a16:creationId xmlns:a16="http://schemas.microsoft.com/office/drawing/2014/main" id="{57015B92-99ED-4909-AD36-576675461CCA}"/>
            </a:ext>
          </a:extLst>
        </xdr:cNvPr>
        <xdr:cNvSpPr/>
      </xdr:nvSpPr>
      <xdr:spPr>
        <a:xfrm>
          <a:off x="6391666" y="778934"/>
          <a:ext cx="2642267" cy="919358"/>
        </a:xfrm>
        <a:prstGeom prst="round2DiagRect">
          <a:avLst/>
        </a:prstGeom>
        <a:solidFill>
          <a:schemeClr val="bg1"/>
        </a:solidFill>
        <a:ln>
          <a:no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5EA99DC-83F6-423A-86AA-581A4B06951A}" type="TxLink">
            <a:rPr lang="en-US" sz="2400" b="0" i="0" u="none" strike="noStrike">
              <a:solidFill>
                <a:srgbClr val="000000"/>
              </a:solidFill>
              <a:latin typeface="Calibri"/>
              <a:ea typeface="Calibri"/>
              <a:cs typeface="Calibri"/>
            </a:rPr>
            <a:pPr marL="0" indent="0" algn="ctr"/>
            <a:t>$139.9</a:t>
          </a:fld>
          <a:endParaRPr lang="en-US" sz="2400" b="0" i="0" u="none" strike="noStrike">
            <a:solidFill>
              <a:srgbClr val="000000"/>
            </a:solidFill>
            <a:latin typeface="Calibri"/>
            <a:ea typeface="Calibri"/>
            <a:cs typeface="Calibri"/>
          </a:endParaRPr>
        </a:p>
      </xdr:txBody>
    </xdr:sp>
    <xdr:clientData/>
  </xdr:twoCellAnchor>
  <xdr:twoCellAnchor>
    <xdr:from>
      <xdr:col>5</xdr:col>
      <xdr:colOff>558802</xdr:colOff>
      <xdr:row>9</xdr:row>
      <xdr:rowOff>82543</xdr:rowOff>
    </xdr:from>
    <xdr:to>
      <xdr:col>9</xdr:col>
      <xdr:colOff>220132</xdr:colOff>
      <xdr:row>14</xdr:row>
      <xdr:rowOff>28234</xdr:rowOff>
    </xdr:to>
    <xdr:sp macro="" textlink="'Main KPIs'!C13">
      <xdr:nvSpPr>
        <xdr:cNvPr id="15" name="Rectangle: Diagonal Corners Rounded 14">
          <a:extLst>
            <a:ext uri="{FF2B5EF4-FFF2-40B4-BE49-F238E27FC236}">
              <a16:creationId xmlns:a16="http://schemas.microsoft.com/office/drawing/2014/main" id="{A65C45A6-D6A8-4AE6-A7BF-BA95D799A0C2}"/>
            </a:ext>
          </a:extLst>
        </xdr:cNvPr>
        <xdr:cNvSpPr/>
      </xdr:nvSpPr>
      <xdr:spPr>
        <a:xfrm>
          <a:off x="3903135" y="1835143"/>
          <a:ext cx="2336797" cy="919358"/>
        </a:xfrm>
        <a:prstGeom prst="round2DiagRect">
          <a:avLst/>
        </a:prstGeom>
        <a:solidFill>
          <a:schemeClr val="bg1"/>
        </a:solidFill>
        <a:ln>
          <a:no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1B1812A-90DE-4071-A538-ABF0B948604C}" type="TxLink">
            <a:rPr lang="en-US" sz="2400" b="0" i="0" u="none" strike="noStrike">
              <a:solidFill>
                <a:srgbClr val="000000"/>
              </a:solidFill>
              <a:latin typeface="Calibri"/>
              <a:ea typeface="Calibri"/>
              <a:cs typeface="Calibri"/>
            </a:rPr>
            <a:pPr marL="0" indent="0" algn="ctr"/>
            <a:t>3631</a:t>
          </a:fld>
          <a:endParaRPr lang="en-US" sz="2400" b="0" i="0" u="none" strike="noStrike">
            <a:solidFill>
              <a:srgbClr val="000000"/>
            </a:solidFill>
            <a:latin typeface="Calibri"/>
            <a:ea typeface="Calibri"/>
            <a:cs typeface="Calibri"/>
          </a:endParaRPr>
        </a:p>
      </xdr:txBody>
    </xdr:sp>
    <xdr:clientData/>
  </xdr:twoCellAnchor>
  <xdr:twoCellAnchor>
    <xdr:from>
      <xdr:col>9</xdr:col>
      <xdr:colOff>319205</xdr:colOff>
      <xdr:row>9</xdr:row>
      <xdr:rowOff>62776</xdr:rowOff>
    </xdr:from>
    <xdr:to>
      <xdr:col>13</xdr:col>
      <xdr:colOff>330199</xdr:colOff>
      <xdr:row>14</xdr:row>
      <xdr:rowOff>8467</xdr:rowOff>
    </xdr:to>
    <xdr:sp macro="" textlink="'Main KPIs'!D13">
      <xdr:nvSpPr>
        <xdr:cNvPr id="17" name="Rectangle: Diagonal Corners Rounded 16">
          <a:extLst>
            <a:ext uri="{FF2B5EF4-FFF2-40B4-BE49-F238E27FC236}">
              <a16:creationId xmlns:a16="http://schemas.microsoft.com/office/drawing/2014/main" id="{75EDBB5A-0CB9-4E85-96EA-9348F87EDB78}"/>
            </a:ext>
          </a:extLst>
        </xdr:cNvPr>
        <xdr:cNvSpPr/>
      </xdr:nvSpPr>
      <xdr:spPr>
        <a:xfrm>
          <a:off x="6339005" y="1815376"/>
          <a:ext cx="2686461" cy="919358"/>
        </a:xfrm>
        <a:prstGeom prst="round2DiagRect">
          <a:avLst/>
        </a:prstGeom>
        <a:solidFill>
          <a:schemeClr val="bg1"/>
        </a:solidFill>
        <a:ln>
          <a:no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49F8FAE-3938-4FFD-BED3-2C7F2B1A3500}" type="TxLink">
            <a:rPr lang="en-US" sz="2400" b="0" i="0" u="none" strike="noStrike">
              <a:solidFill>
                <a:srgbClr val="000000"/>
              </a:solidFill>
              <a:latin typeface="Calibri"/>
              <a:ea typeface="Calibri"/>
              <a:cs typeface="Calibri"/>
            </a:rPr>
            <a:pPr marL="0" indent="0" algn="ctr"/>
            <a:t>4.0</a:t>
          </a:fld>
          <a:endParaRPr lang="en-US" sz="2400" b="0" i="0" u="none" strike="noStrike">
            <a:solidFill>
              <a:srgbClr val="000000"/>
            </a:solidFill>
            <a:latin typeface="Calibri"/>
            <a:ea typeface="Calibri"/>
            <a:cs typeface="Calibri"/>
          </a:endParaRPr>
        </a:p>
      </xdr:txBody>
    </xdr:sp>
    <xdr:clientData/>
  </xdr:twoCellAnchor>
  <xdr:twoCellAnchor>
    <xdr:from>
      <xdr:col>6</xdr:col>
      <xdr:colOff>245530</xdr:colOff>
      <xdr:row>8</xdr:row>
      <xdr:rowOff>190497</xdr:rowOff>
    </xdr:from>
    <xdr:to>
      <xdr:col>9</xdr:col>
      <xdr:colOff>389465</xdr:colOff>
      <xdr:row>10</xdr:row>
      <xdr:rowOff>84666</xdr:rowOff>
    </xdr:to>
    <xdr:sp macro="" textlink="">
      <xdr:nvSpPr>
        <xdr:cNvPr id="16" name="TextBox 15">
          <a:extLst>
            <a:ext uri="{FF2B5EF4-FFF2-40B4-BE49-F238E27FC236}">
              <a16:creationId xmlns:a16="http://schemas.microsoft.com/office/drawing/2014/main" id="{318110F6-E4B6-CDF5-3461-8799A169E543}"/>
            </a:ext>
          </a:extLst>
        </xdr:cNvPr>
        <xdr:cNvSpPr txBox="1"/>
      </xdr:nvSpPr>
      <xdr:spPr>
        <a:xfrm>
          <a:off x="4258730" y="1748364"/>
          <a:ext cx="2150535" cy="283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Number of items</a:t>
          </a:r>
        </a:p>
      </xdr:txBody>
    </xdr:sp>
    <xdr:clientData/>
  </xdr:twoCellAnchor>
  <xdr:twoCellAnchor>
    <xdr:from>
      <xdr:col>6</xdr:col>
      <xdr:colOff>338666</xdr:colOff>
      <xdr:row>3</xdr:row>
      <xdr:rowOff>173566</xdr:rowOff>
    </xdr:from>
    <xdr:to>
      <xdr:col>8</xdr:col>
      <xdr:colOff>643467</xdr:colOff>
      <xdr:row>5</xdr:row>
      <xdr:rowOff>67733</xdr:rowOff>
    </xdr:to>
    <xdr:sp macro="" textlink="">
      <xdr:nvSpPr>
        <xdr:cNvPr id="12" name="TextBox 11">
          <a:extLst>
            <a:ext uri="{FF2B5EF4-FFF2-40B4-BE49-F238E27FC236}">
              <a16:creationId xmlns:a16="http://schemas.microsoft.com/office/drawing/2014/main" id="{E7720B1D-E693-B5E8-815D-6F7C1E042A1E}"/>
            </a:ext>
          </a:extLst>
        </xdr:cNvPr>
        <xdr:cNvSpPr txBox="1"/>
      </xdr:nvSpPr>
      <xdr:spPr>
        <a:xfrm>
          <a:off x="4351866" y="757766"/>
          <a:ext cx="1642534" cy="283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r>
            <a:rPr lang="en-US" sz="1800" b="1" baseline="0"/>
            <a:t> Sales</a:t>
          </a:r>
          <a:endParaRPr lang="en-US" sz="1800" b="1"/>
        </a:p>
      </xdr:txBody>
    </xdr:sp>
    <xdr:clientData/>
  </xdr:twoCellAnchor>
  <xdr:twoCellAnchor>
    <xdr:from>
      <xdr:col>10</xdr:col>
      <xdr:colOff>321734</xdr:colOff>
      <xdr:row>9</xdr:row>
      <xdr:rowOff>12698</xdr:rowOff>
    </xdr:from>
    <xdr:to>
      <xdr:col>13</xdr:col>
      <xdr:colOff>103909</xdr:colOff>
      <xdr:row>11</xdr:row>
      <xdr:rowOff>25977</xdr:rowOff>
    </xdr:to>
    <xdr:sp macro="" textlink="">
      <xdr:nvSpPr>
        <xdr:cNvPr id="18" name="TextBox 17">
          <a:extLst>
            <a:ext uri="{FF2B5EF4-FFF2-40B4-BE49-F238E27FC236}">
              <a16:creationId xmlns:a16="http://schemas.microsoft.com/office/drawing/2014/main" id="{62855CBC-3530-21EF-15B6-61D18C1F3006}"/>
            </a:ext>
          </a:extLst>
        </xdr:cNvPr>
        <xdr:cNvSpPr txBox="1"/>
      </xdr:nvSpPr>
      <xdr:spPr>
        <a:xfrm>
          <a:off x="6989234" y="1805130"/>
          <a:ext cx="1782425" cy="41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 Rating</a:t>
          </a:r>
        </a:p>
      </xdr:txBody>
    </xdr:sp>
    <xdr:clientData/>
  </xdr:twoCellAnchor>
  <xdr:twoCellAnchor>
    <xdr:from>
      <xdr:col>10</xdr:col>
      <xdr:colOff>423332</xdr:colOff>
      <xdr:row>3</xdr:row>
      <xdr:rowOff>131234</xdr:rowOff>
    </xdr:from>
    <xdr:to>
      <xdr:col>12</xdr:col>
      <xdr:colOff>554182</xdr:colOff>
      <xdr:row>5</xdr:row>
      <xdr:rowOff>33867</xdr:rowOff>
    </xdr:to>
    <xdr:sp macro="" textlink="">
      <xdr:nvSpPr>
        <xdr:cNvPr id="14" name="TextBox 13">
          <a:extLst>
            <a:ext uri="{FF2B5EF4-FFF2-40B4-BE49-F238E27FC236}">
              <a16:creationId xmlns:a16="http://schemas.microsoft.com/office/drawing/2014/main" id="{2E0585E2-5EBF-1C33-236D-87E71F14AC5A}"/>
            </a:ext>
          </a:extLst>
        </xdr:cNvPr>
        <xdr:cNvSpPr txBox="1"/>
      </xdr:nvSpPr>
      <xdr:spPr>
        <a:xfrm>
          <a:off x="7090832" y="728711"/>
          <a:ext cx="1464350" cy="30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 Sales</a:t>
          </a:r>
        </a:p>
      </xdr:txBody>
    </xdr:sp>
    <xdr:clientData/>
  </xdr:twoCellAnchor>
  <xdr:twoCellAnchor>
    <xdr:from>
      <xdr:col>5</xdr:col>
      <xdr:colOff>567267</xdr:colOff>
      <xdr:row>4</xdr:row>
      <xdr:rowOff>76201</xdr:rowOff>
    </xdr:from>
    <xdr:to>
      <xdr:col>5</xdr:col>
      <xdr:colOff>618067</xdr:colOff>
      <xdr:row>8</xdr:row>
      <xdr:rowOff>177800</xdr:rowOff>
    </xdr:to>
    <xdr:sp macro="" textlink="">
      <xdr:nvSpPr>
        <xdr:cNvPr id="20" name="Rectangle 19">
          <a:extLst>
            <a:ext uri="{FF2B5EF4-FFF2-40B4-BE49-F238E27FC236}">
              <a16:creationId xmlns:a16="http://schemas.microsoft.com/office/drawing/2014/main" id="{F6F709E3-6F44-9928-CA49-95F7F3EAA7F6}"/>
            </a:ext>
          </a:extLst>
        </xdr:cNvPr>
        <xdr:cNvSpPr/>
      </xdr:nvSpPr>
      <xdr:spPr>
        <a:xfrm>
          <a:off x="3911600" y="855134"/>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550332</xdr:colOff>
      <xdr:row>9</xdr:row>
      <xdr:rowOff>156633</xdr:rowOff>
    </xdr:from>
    <xdr:to>
      <xdr:col>5</xdr:col>
      <xdr:colOff>601132</xdr:colOff>
      <xdr:row>14</xdr:row>
      <xdr:rowOff>63499</xdr:rowOff>
    </xdr:to>
    <xdr:sp macro="" textlink="">
      <xdr:nvSpPr>
        <xdr:cNvPr id="21" name="Rectangle 20">
          <a:extLst>
            <a:ext uri="{FF2B5EF4-FFF2-40B4-BE49-F238E27FC236}">
              <a16:creationId xmlns:a16="http://schemas.microsoft.com/office/drawing/2014/main" id="{6ADF1C08-DEA0-4CB3-B86D-9E915269747E}"/>
            </a:ext>
          </a:extLst>
        </xdr:cNvPr>
        <xdr:cNvSpPr/>
      </xdr:nvSpPr>
      <xdr:spPr>
        <a:xfrm>
          <a:off x="3894665" y="1909233"/>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287199</xdr:colOff>
      <xdr:row>4</xdr:row>
      <xdr:rowOff>0</xdr:rowOff>
    </xdr:from>
    <xdr:to>
      <xdr:col>13</xdr:col>
      <xdr:colOff>337999</xdr:colOff>
      <xdr:row>8</xdr:row>
      <xdr:rowOff>101599</xdr:rowOff>
    </xdr:to>
    <xdr:sp macro="" textlink="">
      <xdr:nvSpPr>
        <xdr:cNvPr id="22" name="Rectangle 21">
          <a:extLst>
            <a:ext uri="{FF2B5EF4-FFF2-40B4-BE49-F238E27FC236}">
              <a16:creationId xmlns:a16="http://schemas.microsoft.com/office/drawing/2014/main" id="{4A9CB247-35DA-4D5D-A437-3C863E8EB811}"/>
            </a:ext>
          </a:extLst>
        </xdr:cNvPr>
        <xdr:cNvSpPr/>
      </xdr:nvSpPr>
      <xdr:spPr>
        <a:xfrm>
          <a:off x="8982466" y="778933"/>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276875</xdr:colOff>
      <xdr:row>9</xdr:row>
      <xdr:rowOff>54309</xdr:rowOff>
    </xdr:from>
    <xdr:to>
      <xdr:col>13</xdr:col>
      <xdr:colOff>327675</xdr:colOff>
      <xdr:row>13</xdr:row>
      <xdr:rowOff>155909</xdr:rowOff>
    </xdr:to>
    <xdr:sp macro="" textlink="">
      <xdr:nvSpPr>
        <xdr:cNvPr id="23" name="Rectangle 22">
          <a:extLst>
            <a:ext uri="{FF2B5EF4-FFF2-40B4-BE49-F238E27FC236}">
              <a16:creationId xmlns:a16="http://schemas.microsoft.com/office/drawing/2014/main" id="{CA859704-214A-4A40-8944-D291FA2AE111}"/>
            </a:ext>
          </a:extLst>
        </xdr:cNvPr>
        <xdr:cNvSpPr/>
      </xdr:nvSpPr>
      <xdr:spPr>
        <a:xfrm>
          <a:off x="8972142" y="1806909"/>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127000</xdr:colOff>
      <xdr:row>12</xdr:row>
      <xdr:rowOff>152400</xdr:rowOff>
    </xdr:from>
    <xdr:ext cx="184731" cy="264560"/>
    <xdr:sp macro="" textlink="">
      <xdr:nvSpPr>
        <xdr:cNvPr id="24" name="TextBox 23">
          <a:extLst>
            <a:ext uri="{FF2B5EF4-FFF2-40B4-BE49-F238E27FC236}">
              <a16:creationId xmlns:a16="http://schemas.microsoft.com/office/drawing/2014/main" id="{63C3085D-9C67-A790-ADF2-991789799DE8}"/>
            </a:ext>
          </a:extLst>
        </xdr:cNvPr>
        <xdr:cNvSpPr txBox="1"/>
      </xdr:nvSpPr>
      <xdr:spPr>
        <a:xfrm>
          <a:off x="10828867" y="2489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516467</xdr:colOff>
      <xdr:row>15</xdr:row>
      <xdr:rowOff>25403</xdr:rowOff>
    </xdr:from>
    <xdr:to>
      <xdr:col>11</xdr:col>
      <xdr:colOff>211667</xdr:colOff>
      <xdr:row>24</xdr:row>
      <xdr:rowOff>76201</xdr:rowOff>
    </xdr:to>
    <xdr:graphicFrame macro="">
      <xdr:nvGraphicFramePr>
        <xdr:cNvPr id="27" name="Chart 26">
          <a:extLst>
            <a:ext uri="{FF2B5EF4-FFF2-40B4-BE49-F238E27FC236}">
              <a16:creationId xmlns:a16="http://schemas.microsoft.com/office/drawing/2014/main" id="{53B9A4C8-36AD-4F27-8A31-D9738265E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330201</xdr:colOff>
      <xdr:row>15</xdr:row>
      <xdr:rowOff>59267</xdr:rowOff>
    </xdr:from>
    <xdr:to>
      <xdr:col>17</xdr:col>
      <xdr:colOff>304801</xdr:colOff>
      <xdr:row>35</xdr:row>
      <xdr:rowOff>62345</xdr:rowOff>
    </xdr:to>
    <xdr:graphicFrame macro="">
      <xdr:nvGraphicFramePr>
        <xdr:cNvPr id="28" name="Chart 27">
          <a:extLst>
            <a:ext uri="{FF2B5EF4-FFF2-40B4-BE49-F238E27FC236}">
              <a16:creationId xmlns:a16="http://schemas.microsoft.com/office/drawing/2014/main" id="{4EF21B61-1A64-4F72-A871-A4A801176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592667</xdr:colOff>
      <xdr:row>12</xdr:row>
      <xdr:rowOff>160865</xdr:rowOff>
    </xdr:from>
    <xdr:to>
      <xdr:col>5</xdr:col>
      <xdr:colOff>389468</xdr:colOff>
      <xdr:row>17</xdr:row>
      <xdr:rowOff>177799</xdr:rowOff>
    </xdr:to>
    <mc:AlternateContent xmlns:mc="http://schemas.openxmlformats.org/markup-compatibility/2006" xmlns:a14="http://schemas.microsoft.com/office/drawing/2010/main">
      <mc:Choice Requires="a14">
        <xdr:graphicFrame macro="">
          <xdr:nvGraphicFramePr>
            <xdr:cNvPr id="29" name="Item Fat Content 1">
              <a:extLst>
                <a:ext uri="{FF2B5EF4-FFF2-40B4-BE49-F238E27FC236}">
                  <a16:creationId xmlns:a16="http://schemas.microsoft.com/office/drawing/2014/main" id="{A757BD65-2730-4905-9B67-5EBDB355D09C}"/>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926167" y="2550774"/>
              <a:ext cx="1797051" cy="1012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575732</xdr:colOff>
      <xdr:row>18</xdr:row>
      <xdr:rowOff>160867</xdr:rowOff>
    </xdr:from>
    <xdr:to>
      <xdr:col>5</xdr:col>
      <xdr:colOff>423333</xdr:colOff>
      <xdr:row>27</xdr:row>
      <xdr:rowOff>8467</xdr:rowOff>
    </xdr:to>
    <mc:AlternateContent xmlns:mc="http://schemas.openxmlformats.org/markup-compatibility/2006" xmlns:a14="http://schemas.microsoft.com/office/drawing/2010/main">
      <mc:Choice Requires="a14">
        <xdr:graphicFrame macro="">
          <xdr:nvGraphicFramePr>
            <xdr:cNvPr id="30" name="Item Type">
              <a:extLst>
                <a:ext uri="{FF2B5EF4-FFF2-40B4-BE49-F238E27FC236}">
                  <a16:creationId xmlns:a16="http://schemas.microsoft.com/office/drawing/2014/main" id="{080BF01D-9A84-4B04-95AE-B43BD3AF13A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909232" y="3745731"/>
              <a:ext cx="1847851" cy="1640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584200</xdr:colOff>
      <xdr:row>28</xdr:row>
      <xdr:rowOff>42334</xdr:rowOff>
    </xdr:from>
    <xdr:to>
      <xdr:col>5</xdr:col>
      <xdr:colOff>406400</xdr:colOff>
      <xdr:row>34</xdr:row>
      <xdr:rowOff>186267</xdr:rowOff>
    </xdr:to>
    <mc:AlternateContent xmlns:mc="http://schemas.openxmlformats.org/markup-compatibility/2006" xmlns:a14="http://schemas.microsoft.com/office/drawing/2010/main">
      <mc:Choice Requires="a14">
        <xdr:graphicFrame macro="">
          <xdr:nvGraphicFramePr>
            <xdr:cNvPr id="31" name="Outlet Size 2">
              <a:extLst>
                <a:ext uri="{FF2B5EF4-FFF2-40B4-BE49-F238E27FC236}">
                  <a16:creationId xmlns:a16="http://schemas.microsoft.com/office/drawing/2014/main" id="{2E9EEFA8-AB39-4A21-9DC8-C6B56A3CE4E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917700" y="5618789"/>
              <a:ext cx="1822450" cy="1338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499535</xdr:colOff>
      <xdr:row>24</xdr:row>
      <xdr:rowOff>143934</xdr:rowOff>
    </xdr:from>
    <xdr:to>
      <xdr:col>11</xdr:col>
      <xdr:colOff>220134</xdr:colOff>
      <xdr:row>35</xdr:row>
      <xdr:rowOff>59267</xdr:rowOff>
    </xdr:to>
    <xdr:graphicFrame macro="">
      <xdr:nvGraphicFramePr>
        <xdr:cNvPr id="32" name="Chart 31">
          <a:extLst>
            <a:ext uri="{FF2B5EF4-FFF2-40B4-BE49-F238E27FC236}">
              <a16:creationId xmlns:a16="http://schemas.microsoft.com/office/drawing/2014/main" id="{78719F1E-2E24-41A7-901C-C7D204BF2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465666</xdr:colOff>
      <xdr:row>4</xdr:row>
      <xdr:rowOff>0</xdr:rowOff>
    </xdr:from>
    <xdr:to>
      <xdr:col>17</xdr:col>
      <xdr:colOff>321733</xdr:colOff>
      <xdr:row>14</xdr:row>
      <xdr:rowOff>59266</xdr:rowOff>
    </xdr:to>
    <mc:AlternateContent xmlns:mc="http://schemas.openxmlformats.org/markup-compatibility/2006" xmlns:a14="http://schemas.microsoft.com/office/drawing/2010/main">
      <mc:Choice Requires="a14">
        <xdr:graphicFrame macro="">
          <xdr:nvGraphicFramePr>
            <xdr:cNvPr id="33" name="Outlet Establishment Year">
              <a:extLst>
                <a:ext uri="{FF2B5EF4-FFF2-40B4-BE49-F238E27FC236}">
                  <a16:creationId xmlns:a16="http://schemas.microsoft.com/office/drawing/2014/main" id="{B6C30997-D285-4006-AEEB-017741A70BF9}"/>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9133416" y="796636"/>
              <a:ext cx="2523067" cy="2050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376296</xdr:colOff>
      <xdr:row>3</xdr:row>
      <xdr:rowOff>169333</xdr:rowOff>
    </xdr:from>
    <xdr:to>
      <xdr:col>24</xdr:col>
      <xdr:colOff>479778</xdr:colOff>
      <xdr:row>14</xdr:row>
      <xdr:rowOff>150517</xdr:rowOff>
    </xdr:to>
    <xdr:graphicFrame macro="">
      <xdr:nvGraphicFramePr>
        <xdr:cNvPr id="2" name="Chart 1">
          <a:extLst>
            <a:ext uri="{FF2B5EF4-FFF2-40B4-BE49-F238E27FC236}">
              <a16:creationId xmlns:a16="http://schemas.microsoft.com/office/drawing/2014/main" id="{22814271-6225-481B-92C6-A290A57A7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423333</xdr:colOff>
      <xdr:row>15</xdr:row>
      <xdr:rowOff>75260</xdr:rowOff>
    </xdr:from>
    <xdr:to>
      <xdr:col>20</xdr:col>
      <xdr:colOff>545629</xdr:colOff>
      <xdr:row>27</xdr:row>
      <xdr:rowOff>5833</xdr:rowOff>
    </xdr:to>
    <xdr:graphicFrame macro="">
      <xdr:nvGraphicFramePr>
        <xdr:cNvPr id="7" name="Chart 6">
          <a:extLst>
            <a:ext uri="{FF2B5EF4-FFF2-40B4-BE49-F238E27FC236}">
              <a16:creationId xmlns:a16="http://schemas.microsoft.com/office/drawing/2014/main" id="{EB5D8A38-51DC-4120-A624-DD4C7D1E3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630296</xdr:colOff>
      <xdr:row>15</xdr:row>
      <xdr:rowOff>94073</xdr:rowOff>
    </xdr:from>
    <xdr:to>
      <xdr:col>24</xdr:col>
      <xdr:colOff>460964</xdr:colOff>
      <xdr:row>26</xdr:row>
      <xdr:rowOff>197555</xdr:rowOff>
    </xdr:to>
    <xdr:graphicFrame macro="">
      <xdr:nvGraphicFramePr>
        <xdr:cNvPr id="8" name="Chart 7">
          <a:extLst>
            <a:ext uri="{FF2B5EF4-FFF2-40B4-BE49-F238E27FC236}">
              <a16:creationId xmlns:a16="http://schemas.microsoft.com/office/drawing/2014/main" id="{E66FB47D-2832-49BD-A18A-2C23BBF8E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385703</xdr:colOff>
      <xdr:row>27</xdr:row>
      <xdr:rowOff>75259</xdr:rowOff>
    </xdr:from>
    <xdr:to>
      <xdr:col>24</xdr:col>
      <xdr:colOff>451555</xdr:colOff>
      <xdr:row>35</xdr:row>
      <xdr:rowOff>103482</xdr:rowOff>
    </xdr:to>
    <xdr:graphicFrame macro="">
      <xdr:nvGraphicFramePr>
        <xdr:cNvPr id="9" name="Chart 8">
          <a:extLst>
            <a:ext uri="{FF2B5EF4-FFF2-40B4-BE49-F238E27FC236}">
              <a16:creationId xmlns:a16="http://schemas.microsoft.com/office/drawing/2014/main" id="{DFDFFFCC-E183-48EF-9A29-9EC1DAE56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38100</xdr:colOff>
      <xdr:row>1</xdr:row>
      <xdr:rowOff>121921</xdr:rowOff>
    </xdr:from>
    <xdr:to>
      <xdr:col>14</xdr:col>
      <xdr:colOff>22860</xdr:colOff>
      <xdr:row>6</xdr:row>
      <xdr:rowOff>30481</xdr:rowOff>
    </xdr:to>
    <mc:AlternateContent xmlns:mc="http://schemas.openxmlformats.org/markup-compatibility/2006" xmlns:a14="http://schemas.microsoft.com/office/drawing/2010/main">
      <mc:Choice Requires="a14">
        <xdr:graphicFrame macro="">
          <xdr:nvGraphicFramePr>
            <xdr:cNvPr id="6" name="Item Fat Content">
              <a:extLst>
                <a:ext uri="{FF2B5EF4-FFF2-40B4-BE49-F238E27FC236}">
                  <a16:creationId xmlns:a16="http://schemas.microsoft.com/office/drawing/2014/main" id="{22106C96-E57E-E425-9E4B-EC560C746D44}"/>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8694420" y="320041"/>
              <a:ext cx="1828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6.785247222222" createdVersion="8" refreshedVersion="8" minRefreshableVersion="3" recordCount="8523" xr:uid="{B6B7C4EA-32F5-4B72-8589-781F8D1A1387}">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Blank="1" containsMixedTypes="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57495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e v="#DIV/0!"/>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C73C9-38C3-4E66-956C-F83F607BAB5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13">
    <pivotField showAll="0">
      <items count="3">
        <item x="1"/>
        <item x="0"/>
        <item t="default"/>
      </items>
    </pivotField>
    <pivotField dataField="1" showAll="0"/>
    <pivotField dataField="1" showAll="0"/>
    <pivotField showAll="0"/>
    <pivotField showAll="0"/>
    <pivotField showAll="0"/>
    <pivotField showAll="0"/>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5">
    <i>
      <x/>
    </i>
    <i i="1">
      <x v="1"/>
    </i>
    <i i="2">
      <x v="2"/>
    </i>
    <i i="3">
      <x v="3"/>
    </i>
    <i i="4">
      <x v="4"/>
    </i>
  </colItems>
  <dataFields count="5">
    <dataField name="Total sales" fld="11" baseField="0" baseItem="1" numFmtId="2"/>
    <dataField name="Average Sales" fld="11" subtotal="average" baseField="0" baseItem="1"/>
    <dataField name="Total Number of items " fld="2" subtotal="count" baseField="0" baseItem="2"/>
    <dataField name="Average Rating" fld="12" subtotal="average" baseField="0" baseItem="3"/>
    <dataField name="Count of Serial No." fld="1" subtotal="count" baseField="0" baseItem="3"/>
  </dataFields>
  <formats count="4">
    <format dxfId="26">
      <pivotArea outline="0" collapsedLevelsAreSubtotals="1" fieldPosition="0"/>
    </format>
    <format dxfId="25">
      <pivotArea type="all" dataOnly="0" outline="0" fieldPosition="0"/>
    </format>
    <format dxfId="24">
      <pivotArea outline="0" collapsedLevelsAreSubtotals="1" fieldPosition="0"/>
    </format>
    <format dxfId="2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CAABF-809E-4A1B-9881-E12F895F2B2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3">
    <pivotField showAll="0">
      <items count="3">
        <item x="1"/>
        <item x="0"/>
        <item t="default"/>
      </items>
    </pivotField>
    <pivotField dataField="1" showAll="0"/>
    <pivotField dataField="1" showAll="0"/>
    <pivotField showAll="0"/>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5">
    <i>
      <x/>
    </i>
    <i i="1">
      <x v="1"/>
    </i>
    <i i="2">
      <x v="2"/>
    </i>
    <i i="3">
      <x v="3"/>
    </i>
    <i i="4">
      <x v="4"/>
    </i>
  </colItems>
  <dataFields count="5">
    <dataField name="Total sales" fld="11" baseField="0" baseItem="1" numFmtId="2"/>
    <dataField name="Average Sales" fld="11" subtotal="average" baseField="0" baseItem="1"/>
    <dataField name="Total Number of items " fld="2" subtotal="count" baseField="0" baseItem="2"/>
    <dataField name="Average Rating" fld="12" subtotal="average" baseField="0" baseItem="3"/>
    <dataField name="Count of Serial No." fld="1" subtotal="count" baseField="0" baseItem="3"/>
  </dataFields>
  <formats count="4">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332A7-C121-4196-8F54-1AA5FBF8C0F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C106:D110"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7" baseItem="0" numFmtId="169"/>
  </dataFields>
  <formats count="2">
    <format dxfId="6">
      <pivotArea outline="0" collapsedLevelsAreSubtotals="1" fieldPosition="0"/>
    </format>
    <format dxfId="7">
      <pivotArea outline="0" fieldPosition="0">
        <references count="1">
          <reference field="4294967294" count="1">
            <x v="0"/>
          </reference>
        </references>
      </pivotArea>
    </format>
  </formats>
  <chartFormats count="12">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296E5-9CEA-4B99-AAFF-C8BA9EC835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B45:C50"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7" baseItem="0" numFmtId="169"/>
  </dataFields>
  <formats count="2">
    <format dxfId="13">
      <pivotArea outline="0" collapsedLevelsAreSubtotals="1" fieldPosition="0"/>
    </format>
    <format dxfId="14">
      <pivotArea outline="0" fieldPosition="0">
        <references count="1">
          <reference field="4294967294" count="1">
            <x v="0"/>
          </reference>
        </references>
      </pivotArea>
    </format>
  </formats>
  <chartFormats count="14">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5C17A5-331B-431D-B927-414FAEEB42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D30:E34"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7" baseItem="0" numFmtId="169"/>
  </dataFields>
  <formats count="3">
    <format dxfId="17">
      <pivotArea outline="0" collapsedLevelsAreSubtotals="1" fieldPosition="0"/>
    </format>
    <format dxfId="16">
      <pivotArea collapsedLevelsAreSubtotals="1" fieldPosition="0">
        <references count="1">
          <reference field="7" count="1">
            <x v="0"/>
          </reference>
        </references>
      </pivotArea>
    </format>
    <format dxfId="15">
      <pivotArea outline="0" fieldPosition="0">
        <references count="1">
          <reference field="4294967294" count="1">
            <x v="0"/>
          </reference>
        </references>
      </pivotArea>
    </format>
  </formats>
  <chartFormats count="11">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7" count="1" selected="0">
            <x v="0"/>
          </reference>
        </references>
      </pivotArea>
    </chartFormat>
    <chartFormat chart="46" format="7">
      <pivotArea type="data" outline="0" fieldPosition="0">
        <references count="2">
          <reference field="4294967294" count="1" selected="0">
            <x v="0"/>
          </reference>
          <reference field="7" count="1" selected="0">
            <x v="1"/>
          </reference>
        </references>
      </pivotArea>
    </chartFormat>
    <chartFormat chart="4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29A309-3732-45C9-B86F-1A2425E9207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K12:L22"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5"/>
  </dataFields>
  <formats count="2">
    <format dxfId="19">
      <pivotArea outline="0" collapsedLevelsAreSubtotals="1" fieldPosition="0"/>
    </format>
    <format dxfId="18">
      <pivotArea collapsedLevelsAreSubtotals="1" fieldPosition="0">
        <references count="1">
          <reference field="4" count="1">
            <x v="0"/>
          </reference>
        </references>
      </pivotArea>
    </format>
  </formats>
  <chartFormats count="6">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60464F-5839-4FC9-B5C8-E904878F03E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12:G22" firstHeaderRow="1" firstDataRow="1" firstDataCol="1"/>
  <pivotFields count="13">
    <pivotField axis="axisRow"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2">
    <field x="6"/>
    <field x="0"/>
  </rowFields>
  <rowItems count="10">
    <i>
      <x/>
    </i>
    <i r="1">
      <x/>
    </i>
    <i r="1">
      <x v="1"/>
    </i>
    <i>
      <x v="1"/>
    </i>
    <i r="1">
      <x/>
    </i>
    <i r="1">
      <x v="1"/>
    </i>
    <i>
      <x v="2"/>
    </i>
    <i r="1">
      <x/>
    </i>
    <i r="1">
      <x v="1"/>
    </i>
    <i t="grand">
      <x/>
    </i>
  </rowItems>
  <colItems count="1">
    <i/>
  </colItems>
  <dataFields count="1">
    <dataField name="Sum of Sales" fld="11" baseField="0" baseItem="0" numFmtId="165"/>
  </dataFields>
  <formats count="1">
    <format dxfId="20">
      <pivotArea outline="0" collapsedLevelsAreSubtotals="1" fieldPosition="0"/>
    </format>
  </formats>
  <chartFormats count="17">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3">
          <reference field="4294967294" count="1" selected="0">
            <x v="0"/>
          </reference>
          <reference field="0" count="1" selected="0">
            <x v="0"/>
          </reference>
          <reference field="6" count="1" selected="0">
            <x v="1"/>
          </reference>
        </references>
      </pivotArea>
    </chartFormat>
    <chartFormat chart="25" format="2">
      <pivotArea type="data" outline="0" fieldPosition="0">
        <references count="3">
          <reference field="4294967294" count="1" selected="0">
            <x v="0"/>
          </reference>
          <reference field="0" count="1" selected="0">
            <x v="0"/>
          </reference>
          <reference field="6" count="1" selected="0">
            <x v="2"/>
          </reference>
        </references>
      </pivotArea>
    </chartFormat>
    <chartFormat chart="25" format="3">
      <pivotArea type="data" outline="0" fieldPosition="0">
        <references count="3">
          <reference field="4294967294" count="1" selected="0">
            <x v="0"/>
          </reference>
          <reference field="0" count="1" selected="0">
            <x v="1"/>
          </reference>
          <reference field="6" count="1" selected="0">
            <x v="2"/>
          </reference>
        </references>
      </pivotArea>
    </chartFormat>
    <chartFormat chart="25" format="4">
      <pivotArea type="data" outline="0" fieldPosition="0">
        <references count="3">
          <reference field="4294967294" count="1" selected="0">
            <x v="0"/>
          </reference>
          <reference field="0" count="1" selected="0">
            <x v="1"/>
          </reference>
          <reference field="6" count="1" selected="0">
            <x v="0"/>
          </reference>
        </references>
      </pivotArea>
    </chartFormat>
    <chartFormat chart="25" format="5">
      <pivotArea type="data" outline="0" fieldPosition="0">
        <references count="3">
          <reference field="4294967294" count="1" selected="0">
            <x v="0"/>
          </reference>
          <reference field="0" count="1" selected="0">
            <x v="1"/>
          </reference>
          <reference field="6" count="1" selected="0">
            <x v="1"/>
          </reference>
        </references>
      </pivotArea>
    </chartFormat>
    <chartFormat chart="25" format="6">
      <pivotArea type="data" outline="0" fieldPosition="0">
        <references count="3">
          <reference field="4294967294" count="1" selected="0">
            <x v="0"/>
          </reference>
          <reference field="0" count="1" selected="0">
            <x v="0"/>
          </reference>
          <reference field="6" count="1" selected="0">
            <x v="0"/>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3">
          <reference field="4294967294" count="1" selected="0">
            <x v="0"/>
          </reference>
          <reference field="0" count="1" selected="0">
            <x v="0"/>
          </reference>
          <reference field="6" count="1" selected="0">
            <x v="0"/>
          </reference>
        </references>
      </pivotArea>
    </chartFormat>
    <chartFormat chart="29" format="16">
      <pivotArea type="data" outline="0" fieldPosition="0">
        <references count="3">
          <reference field="4294967294" count="1" selected="0">
            <x v="0"/>
          </reference>
          <reference field="0" count="1" selected="0">
            <x v="1"/>
          </reference>
          <reference field="6" count="1" selected="0">
            <x v="0"/>
          </reference>
        </references>
      </pivotArea>
    </chartFormat>
    <chartFormat chart="29" format="17">
      <pivotArea type="data" outline="0" fieldPosition="0">
        <references count="3">
          <reference field="4294967294" count="1" selected="0">
            <x v="0"/>
          </reference>
          <reference field="0" count="1" selected="0">
            <x v="0"/>
          </reference>
          <reference field="6" count="1" selected="0">
            <x v="1"/>
          </reference>
        </references>
      </pivotArea>
    </chartFormat>
    <chartFormat chart="29" format="18">
      <pivotArea type="data" outline="0" fieldPosition="0">
        <references count="3">
          <reference field="4294967294" count="1" selected="0">
            <x v="0"/>
          </reference>
          <reference field="0" count="1" selected="0">
            <x v="1"/>
          </reference>
          <reference field="6" count="1" selected="0">
            <x v="1"/>
          </reference>
        </references>
      </pivotArea>
    </chartFormat>
    <chartFormat chart="29" format="19">
      <pivotArea type="data" outline="0" fieldPosition="0">
        <references count="3">
          <reference field="4294967294" count="1" selected="0">
            <x v="0"/>
          </reference>
          <reference field="0" count="1" selected="0">
            <x v="0"/>
          </reference>
          <reference field="6" count="1" selected="0">
            <x v="2"/>
          </reference>
        </references>
      </pivotArea>
    </chartFormat>
    <chartFormat chart="29" format="20">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B4AC5F-79A9-48B8-93F7-291CFB9F9FE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2:B29"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numFmtId="165"/>
  </dataFields>
  <formats count="1">
    <format dxfId="21">
      <pivotArea outline="0" collapsedLevelsAreSubtotals="1" fieldPosition="0"/>
    </format>
  </formats>
  <chartFormats count="19">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15"/>
          </reference>
        </references>
      </pivotArea>
    </chartFormat>
    <chartFormat chart="19" format="4">
      <pivotArea type="data" outline="0" fieldPosition="0">
        <references count="2">
          <reference field="4294967294" count="1" selected="0">
            <x v="0"/>
          </reference>
          <reference field="3" count="1" selected="0">
            <x v="14"/>
          </reference>
        </references>
      </pivotArea>
    </chartFormat>
    <chartFormat chart="19" format="5">
      <pivotArea type="data" outline="0" fieldPosition="0">
        <references count="2">
          <reference field="4294967294" count="1" selected="0">
            <x v="0"/>
          </reference>
          <reference field="3" count="1" selected="0">
            <x v="13"/>
          </reference>
        </references>
      </pivotArea>
    </chartFormat>
    <chartFormat chart="19" format="6">
      <pivotArea type="data" outline="0" fieldPosition="0">
        <references count="2">
          <reference field="4294967294" count="1" selected="0">
            <x v="0"/>
          </reference>
          <reference field="3" count="1" selected="0">
            <x v="12"/>
          </reference>
        </references>
      </pivotArea>
    </chartFormat>
    <chartFormat chart="19" format="7">
      <pivotArea type="data" outline="0" fieldPosition="0">
        <references count="2">
          <reference field="4294967294" count="1" selected="0">
            <x v="0"/>
          </reference>
          <reference field="3" count="1" selected="0">
            <x v="11"/>
          </reference>
        </references>
      </pivotArea>
    </chartFormat>
    <chartFormat chart="19" format="8">
      <pivotArea type="data" outline="0" fieldPosition="0">
        <references count="2">
          <reference field="4294967294" count="1" selected="0">
            <x v="0"/>
          </reference>
          <reference field="3" count="1" selected="0">
            <x v="10"/>
          </reference>
        </references>
      </pivotArea>
    </chartFormat>
    <chartFormat chart="19" format="9">
      <pivotArea type="data" outline="0" fieldPosition="0">
        <references count="2">
          <reference field="4294967294" count="1" selected="0">
            <x v="0"/>
          </reference>
          <reference field="3" count="1" selected="0">
            <x v="9"/>
          </reference>
        </references>
      </pivotArea>
    </chartFormat>
    <chartFormat chart="19" format="10">
      <pivotArea type="data" outline="0" fieldPosition="0">
        <references count="2">
          <reference field="4294967294" count="1" selected="0">
            <x v="0"/>
          </reference>
          <reference field="3" count="1" selected="0">
            <x v="8"/>
          </reference>
        </references>
      </pivotArea>
    </chartFormat>
    <chartFormat chart="19" format="11">
      <pivotArea type="data" outline="0" fieldPosition="0">
        <references count="2">
          <reference field="4294967294" count="1" selected="0">
            <x v="0"/>
          </reference>
          <reference field="3" count="1" selected="0">
            <x v="7"/>
          </reference>
        </references>
      </pivotArea>
    </chartFormat>
    <chartFormat chart="19" format="12">
      <pivotArea type="data" outline="0" fieldPosition="0">
        <references count="2">
          <reference field="4294967294" count="1" selected="0">
            <x v="0"/>
          </reference>
          <reference field="3" count="1" selected="0">
            <x v="6"/>
          </reference>
        </references>
      </pivotArea>
    </chartFormat>
    <chartFormat chart="19" format="13">
      <pivotArea type="data" outline="0" fieldPosition="0">
        <references count="2">
          <reference field="4294967294" count="1" selected="0">
            <x v="0"/>
          </reference>
          <reference field="3" count="1" selected="0">
            <x v="5"/>
          </reference>
        </references>
      </pivotArea>
    </chartFormat>
    <chartFormat chart="19" format="14">
      <pivotArea type="data" outline="0" fieldPosition="0">
        <references count="2">
          <reference field="4294967294" count="1" selected="0">
            <x v="0"/>
          </reference>
          <reference field="3" count="1" selected="0">
            <x v="4"/>
          </reference>
        </references>
      </pivotArea>
    </chartFormat>
    <chartFormat chart="19" format="15">
      <pivotArea type="data" outline="0" fieldPosition="0">
        <references count="2">
          <reference field="4294967294" count="1" selected="0">
            <x v="0"/>
          </reference>
          <reference field="3" count="1" selected="0">
            <x v="3"/>
          </reference>
        </references>
      </pivotArea>
    </chartFormat>
    <chartFormat chart="19" format="16">
      <pivotArea type="data" outline="0" fieldPosition="0">
        <references count="2">
          <reference field="4294967294" count="1" selected="0">
            <x v="0"/>
          </reference>
          <reference field="3" count="1" selected="0">
            <x v="2"/>
          </reference>
        </references>
      </pivotArea>
    </chartFormat>
    <chartFormat chart="19" format="17">
      <pivotArea type="data" outline="0" fieldPosition="0">
        <references count="2">
          <reference field="4294967294" count="1" selected="0">
            <x v="0"/>
          </reference>
          <reference field="3" count="1" selected="0">
            <x v="1"/>
          </reference>
        </references>
      </pivotArea>
    </chartFormat>
    <chartFormat chart="19" format="1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119EE7-CF53-4BD3-9C2F-F88B938598E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3">
    <pivotField axis="axisRow"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5"/>
  </dataFields>
  <formats count="1">
    <format dxfId="22">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2EECBFA-1E72-40C7-835E-8ABD500C0D3F}" sourceName="Outlet Size">
  <pivotTables>
    <pivotTable tabId="2" name="PivotTable1"/>
    <pivotTable tabId="2" name="PivotTable3"/>
  </pivotTables>
  <data>
    <tabular pivotCacheId="1557495240">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00BA577-C1F0-4132-B6AA-E1ED019C0AB4}" sourceName="Outlet Location Type">
  <pivotTables>
    <pivotTable tabId="2" name="PivotTable1"/>
  </pivotTables>
  <data>
    <tabular pivotCacheId="1557495240">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A29CD05-A917-4FB2-AED8-19AC71BEB6E7}" sourceName="Item Fat Content">
  <pivotTables>
    <pivotTable tabId="6" name="PivotTable5"/>
    <pivotTable tabId="6" name="PivotTable4"/>
    <pivotTable tabId="2" name="PivotTable1"/>
    <pivotTable tabId="2" name="PivotTable3"/>
    <pivotTable tabId="6" name="PivotTable6"/>
    <pivotTable tabId="6" name="PivotTable1"/>
    <pivotTable tabId="6" name="PivotTable2"/>
    <pivotTable tabId="6" name="PivotTable3"/>
    <pivotTable tabId="6" name="PivotTable7"/>
  </pivotTables>
  <data>
    <tabular pivotCacheId="155749524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EC164EE-E044-4799-AAF5-7436516CEB40}" sourceName="Item Type">
  <pivotTables>
    <pivotTable tabId="6" name="PivotTable5"/>
    <pivotTable tabId="6" name="PivotTable6"/>
    <pivotTable tabId="6" name="PivotTable1"/>
    <pivotTable tabId="6" name="PivotTable2"/>
    <pivotTable tabId="6" name="PivotTable3"/>
    <pivotTable tabId="6" name="PivotTable7"/>
  </pivotTables>
  <data>
    <tabular pivotCacheId="1557495240">
      <items count="16">
        <i x="13" s="1"/>
        <i x="8" s="1"/>
        <i x="12" s="1"/>
        <i x="3" s="1"/>
        <i x="11" s="1"/>
        <i x="2" s="1"/>
        <i x="0" s="1"/>
        <i x="9" s="1"/>
        <i x="1" s="1"/>
        <i x="5" s="1"/>
        <i x="7" s="1"/>
        <i x="10" s="1"/>
        <i x="14" s="1"/>
        <i x="6" s="1"/>
        <i x="4"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9A3E61AF-E6C5-4C44-923C-004BD18A13FF}" sourceName="Outlet Size">
  <pivotTables>
    <pivotTable tabId="6" name="PivotTable5"/>
    <pivotTable tabId="6" name="PivotTable6"/>
    <pivotTable tabId="6" name="PivotTable1"/>
    <pivotTable tabId="6" name="PivotTable2"/>
    <pivotTable tabId="6" name="PivotTable3"/>
    <pivotTable tabId="6" name="PivotTable7"/>
  </pivotTables>
  <data>
    <tabular pivotCacheId="1557495240">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FA7184ED-DE7F-43AE-AB2D-9CEAB7E8BE77}" sourceName="Outlet Establishment Year">
  <pivotTables>
    <pivotTable tabId="6" name="PivotTable6"/>
    <pivotTable tabId="6" name="PivotTable1"/>
    <pivotTable tabId="6" name="PivotTable2"/>
    <pivotTable tabId="6" name="PivotTable3"/>
    <pivotTable tabId="6" name="PivotTable7"/>
  </pivotTables>
  <data>
    <tabular pivotCacheId="1557495240">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59ADC17-59C5-4837-84F7-381E0C783765}" cache="Slicer_Outlet_Size" caption="Outlet Size" rowHeight="260350"/>
  <slicer name="Outlet Location Type" xr10:uid="{8F7DDA77-64AD-4487-A47A-A9D7B9F79484}"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DBA9AE8E-EE72-4977-9F83-1A20B77A4B95}" cache="Slicer_Item_Fat_Content" caption="Item Fat Content" style="SlicerStyleDark6" rowHeight="260350"/>
  <slicer name="Item Type" xr10:uid="{630B3331-AC2B-4765-A359-D0DD8B2331D9}" cache="Slicer_Item_Type" caption="Item Type" style="SlicerStyleDark6" rowHeight="260350"/>
  <slicer name="Outlet Size 2" xr10:uid="{23E3B91F-F4C1-4181-82FD-03D14DEAB6F6}" cache="Slicer_Outlet_Size1" caption="Outlet Size" style="SlicerStyleDark6" rowHeight="260350"/>
  <slicer name="Outlet Establishment Year" xr10:uid="{CEF76E2F-6BCF-4538-9D05-DABE288E242B}" cache="Slicer_Outlet_Establishment_Year" caption="Outlet Establishment Year" style="SlicerStyleDark6"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12BEA60F-B121-4693-A9C0-F61326D51B3E}" cache="Slicer_Item_Fat_Content" caption="Item Fat Cont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F28A067D-745D-4F23-B357-5BD57F506934}"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8E22-5C00-4E97-8B29-1E9A58D5A45B}">
  <dimension ref="A1:E13"/>
  <sheetViews>
    <sheetView workbookViewId="0">
      <selection activeCell="D3" sqref="D3"/>
    </sheetView>
  </sheetViews>
  <sheetFormatPr defaultRowHeight="15.6" x14ac:dyDescent="0.3"/>
  <cols>
    <col min="1" max="1" width="9.796875" bestFit="1" customWidth="1"/>
    <col min="2" max="2" width="12.296875" bestFit="1" customWidth="1"/>
    <col min="3" max="3" width="20.5" bestFit="1" customWidth="1"/>
    <col min="4" max="4" width="13.5" bestFit="1" customWidth="1"/>
    <col min="5" max="5" width="16.796875" bestFit="1" customWidth="1"/>
  </cols>
  <sheetData>
    <row r="1" spans="1:5" ht="28.8" x14ac:dyDescent="0.55000000000000004">
      <c r="C1" s="9" t="s">
        <v>1618</v>
      </c>
    </row>
    <row r="3" spans="1:5" x14ac:dyDescent="0.3">
      <c r="A3" s="4" t="s">
        <v>1615</v>
      </c>
      <c r="B3" s="4" t="s">
        <v>1614</v>
      </c>
      <c r="C3" s="4" t="s">
        <v>1612</v>
      </c>
      <c r="D3" s="4" t="s">
        <v>1613</v>
      </c>
      <c r="E3" s="4" t="s">
        <v>1617</v>
      </c>
    </row>
    <row r="4" spans="1:5" x14ac:dyDescent="0.3">
      <c r="A4" s="5">
        <v>78048.314399999887</v>
      </c>
      <c r="B4" s="5">
        <v>136.2099727748689</v>
      </c>
      <c r="C4" s="5">
        <v>573</v>
      </c>
      <c r="D4" s="5">
        <v>4.0062827225130881</v>
      </c>
      <c r="E4" s="5">
        <v>573</v>
      </c>
    </row>
    <row r="7" spans="1:5" x14ac:dyDescent="0.3">
      <c r="A7" s="4" t="s">
        <v>1615</v>
      </c>
      <c r="B7" s="4" t="s">
        <v>1614</v>
      </c>
      <c r="C7" s="4" t="s">
        <v>1612</v>
      </c>
      <c r="D7" s="4" t="s">
        <v>1613</v>
      </c>
      <c r="E7" s="4" t="s">
        <v>1617</v>
      </c>
    </row>
    <row r="8" spans="1:5" x14ac:dyDescent="0.3">
      <c r="A8" s="5">
        <v>507895.73639999737</v>
      </c>
      <c r="B8" s="5">
        <v>139.87764703938237</v>
      </c>
      <c r="C8" s="5">
        <v>3631</v>
      </c>
      <c r="D8" s="5">
        <v>3.9774166896172365</v>
      </c>
      <c r="E8" s="5">
        <v>3631</v>
      </c>
    </row>
    <row r="12" spans="1:5" x14ac:dyDescent="0.3">
      <c r="A12" s="6" t="s">
        <v>1615</v>
      </c>
      <c r="B12" s="6" t="s">
        <v>1614</v>
      </c>
      <c r="C12" s="6" t="s">
        <v>1612</v>
      </c>
      <c r="D12" s="6" t="s">
        <v>1613</v>
      </c>
      <c r="E12" s="6" t="s">
        <v>1617</v>
      </c>
    </row>
    <row r="13" spans="1:5" x14ac:dyDescent="0.3">
      <c r="A13" s="7">
        <f>GETPIVOTDATA("Total sales",$A$7)</f>
        <v>507895.73639999737</v>
      </c>
      <c r="B13" s="8">
        <f>GETPIVOTDATA("Average Sales",$A$7)</f>
        <v>139.87764703938237</v>
      </c>
      <c r="C13">
        <f>GETPIVOTDATA("Total Number of items ",$A$7)</f>
        <v>3631</v>
      </c>
      <c r="D13" s="3">
        <f>GETPIVOTDATA("Average Rating",$A$7)</f>
        <v>3.9774166896172365</v>
      </c>
      <c r="E13">
        <f>GETPIVOTDATA("Count of Serial No.",$A$7)</f>
        <v>3631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2A9A-0C85-4B73-8E63-4E785B94619B}">
  <dimension ref="A1"/>
  <sheetViews>
    <sheetView showGridLines="0" tabSelected="1" topLeftCell="C1" zoomScale="94" zoomScaleNormal="96" workbookViewId="0">
      <selection activeCell="O39" sqref="O39"/>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6428-814E-44EA-B110-21184F10D370}">
  <dimension ref="A2:L110"/>
  <sheetViews>
    <sheetView topLeftCell="A31" workbookViewId="0">
      <selection activeCell="B45" sqref="B45:C50"/>
    </sheetView>
  </sheetViews>
  <sheetFormatPr defaultRowHeight="15.6" x14ac:dyDescent="0.3"/>
  <cols>
    <col min="1" max="1" width="19.09765625" bestFit="1" customWidth="1"/>
    <col min="2" max="2" width="17.296875" bestFit="1" customWidth="1"/>
    <col min="3" max="3" width="11.3984375" bestFit="1" customWidth="1"/>
    <col min="4" max="4" width="12.296875" bestFit="1" customWidth="1"/>
    <col min="5" max="5" width="11.3984375" bestFit="1" customWidth="1"/>
    <col min="6" max="6" width="12.296875" bestFit="1" customWidth="1"/>
    <col min="7" max="7" width="11.3984375" bestFit="1" customWidth="1"/>
    <col min="8" max="10" width="6.3984375" bestFit="1" customWidth="1"/>
    <col min="11" max="11" width="12.296875" bestFit="1" customWidth="1"/>
    <col min="12" max="12" width="11.3984375" bestFit="1" customWidth="1"/>
    <col min="13" max="17" width="6.3984375" bestFit="1" customWidth="1"/>
    <col min="18" max="27" width="6.59765625" bestFit="1" customWidth="1"/>
    <col min="28" max="38" width="6.296875" bestFit="1" customWidth="1"/>
    <col min="39" max="51" width="6.19921875" bestFit="1" customWidth="1"/>
    <col min="52" max="78" width="6.59765625" bestFit="1" customWidth="1"/>
    <col min="79" max="103" width="6.09765625" bestFit="1" customWidth="1"/>
    <col min="104" max="114" width="6.3984375" bestFit="1" customWidth="1"/>
    <col min="115" max="123" width="6.09765625" bestFit="1" customWidth="1"/>
    <col min="124" max="131" width="7" bestFit="1" customWidth="1"/>
    <col min="132" max="137" width="6.59765625" bestFit="1" customWidth="1"/>
    <col min="138" max="140" width="6.69921875" bestFit="1" customWidth="1"/>
    <col min="141" max="142" width="6.3984375" bestFit="1" customWidth="1"/>
    <col min="143" max="143" width="6.69921875" bestFit="1" customWidth="1"/>
    <col min="144" max="192" width="6.296875" bestFit="1" customWidth="1"/>
    <col min="193" max="279" width="6.19921875" bestFit="1" customWidth="1"/>
    <col min="280" max="319" width="6.3984375" bestFit="1" customWidth="1"/>
    <col min="320" max="395" width="6.09765625" bestFit="1" customWidth="1"/>
    <col min="396" max="470" width="6.3984375" bestFit="1" customWidth="1"/>
    <col min="471" max="544" width="6.09765625" bestFit="1" customWidth="1"/>
    <col min="545" max="581" width="6.19921875" bestFit="1" customWidth="1"/>
    <col min="582" max="618" width="6.09765625" bestFit="1" customWidth="1"/>
    <col min="619" max="654" width="6.796875" bestFit="1" customWidth="1"/>
    <col min="655" max="692" width="6.3984375" bestFit="1" customWidth="1"/>
    <col min="693" max="733" width="6.5" bestFit="1" customWidth="1"/>
    <col min="734" max="776" width="6.19921875" bestFit="1" customWidth="1"/>
    <col min="777" max="821" width="6.5" bestFit="1" customWidth="1"/>
    <col min="822" max="869" width="6.19921875" bestFit="1" customWidth="1"/>
    <col min="870" max="968" width="6.09765625" bestFit="1" customWidth="1"/>
    <col min="969" max="1018" width="6.3984375" bestFit="1" customWidth="1"/>
    <col min="1019" max="1068" width="6.296875" bestFit="1" customWidth="1"/>
    <col min="1069" max="1118" width="6.8984375" bestFit="1" customWidth="1"/>
    <col min="1119" max="1168" width="6.19921875" bestFit="1" customWidth="1"/>
    <col min="1169" max="1265" width="6.09765625" bestFit="1" customWidth="1"/>
    <col min="1266" max="1275" width="6.5" bestFit="1" customWidth="1"/>
    <col min="1276" max="1295" width="6.3984375" bestFit="1" customWidth="1"/>
    <col min="1296" max="1305" width="6.59765625" bestFit="1" customWidth="1"/>
    <col min="1306" max="1315" width="6.296875" bestFit="1" customWidth="1"/>
    <col min="1316" max="1325" width="6.19921875" bestFit="1" customWidth="1"/>
    <col min="1326" max="1343" width="6.59765625" bestFit="1" customWidth="1"/>
    <col min="1344" max="1364" width="6.09765625" bestFit="1" customWidth="1"/>
    <col min="1365" max="1376" width="6.3984375" bestFit="1" customWidth="1"/>
    <col min="1377" max="1390" width="6.09765625" bestFit="1" customWidth="1"/>
    <col min="1391" max="1406" width="7" bestFit="1" customWidth="1"/>
    <col min="1407" max="1422" width="6.59765625" bestFit="1" customWidth="1"/>
    <col min="1423" max="1438" width="6.69921875" bestFit="1" customWidth="1"/>
    <col min="1439" max="1453" width="6.3984375" bestFit="1" customWidth="1"/>
    <col min="1454" max="1467" width="6.69921875" bestFit="1" customWidth="1"/>
    <col min="1468" max="1479" width="6.3984375" bestFit="1" customWidth="1"/>
    <col min="1480" max="1490" width="6.19921875" bestFit="1" customWidth="1"/>
    <col min="1491" max="1500" width="6.296875" bestFit="1" customWidth="1"/>
    <col min="1501" max="1510" width="6.59765625" bestFit="1" customWidth="1"/>
    <col min="1511" max="1520" width="6.5" bestFit="1" customWidth="1"/>
    <col min="1521" max="1530" width="7.09765625" bestFit="1" customWidth="1"/>
    <col min="1531" max="1540" width="6.3984375" bestFit="1" customWidth="1"/>
    <col min="1541" max="1560" width="6.296875" bestFit="1" customWidth="1"/>
    <col min="1561" max="1561" width="10.8984375" bestFit="1" customWidth="1"/>
  </cols>
  <sheetData>
    <row r="2" spans="1:12" x14ac:dyDescent="0.3">
      <c r="A2" s="11" t="s">
        <v>1619</v>
      </c>
      <c r="B2" s="11"/>
    </row>
    <row r="3" spans="1:12" x14ac:dyDescent="0.3">
      <c r="A3" s="1" t="s">
        <v>1609</v>
      </c>
      <c r="B3" t="s">
        <v>1611</v>
      </c>
    </row>
    <row r="4" spans="1:12" x14ac:dyDescent="0.3">
      <c r="A4" s="2" t="s">
        <v>17</v>
      </c>
      <c r="B4" s="7">
        <v>776319.68840000057</v>
      </c>
    </row>
    <row r="5" spans="1:12" x14ac:dyDescent="0.3">
      <c r="A5" s="2" t="s">
        <v>10</v>
      </c>
      <c r="B5" s="7">
        <v>425361.8043999995</v>
      </c>
    </row>
    <row r="6" spans="1:12" x14ac:dyDescent="0.3">
      <c r="A6" s="2" t="s">
        <v>1610</v>
      </c>
      <c r="B6" s="7">
        <v>1201681.4928000001</v>
      </c>
    </row>
    <row r="11" spans="1:12" x14ac:dyDescent="0.3">
      <c r="A11" s="11" t="s">
        <v>1620</v>
      </c>
      <c r="B11" s="11"/>
    </row>
    <row r="12" spans="1:12" x14ac:dyDescent="0.3">
      <c r="A12" s="1" t="s">
        <v>1609</v>
      </c>
      <c r="B12" t="s">
        <v>1611</v>
      </c>
      <c r="F12" s="1" t="s">
        <v>1609</v>
      </c>
      <c r="G12" t="s">
        <v>1611</v>
      </c>
      <c r="K12" s="1" t="s">
        <v>1609</v>
      </c>
      <c r="L12" t="s">
        <v>1611</v>
      </c>
    </row>
    <row r="13" spans="1:12" x14ac:dyDescent="0.3">
      <c r="A13" s="2" t="s">
        <v>94</v>
      </c>
      <c r="B13" s="7">
        <v>81894.736400000009</v>
      </c>
      <c r="F13" s="2" t="s">
        <v>14</v>
      </c>
      <c r="G13" s="7">
        <v>336397.81200000009</v>
      </c>
      <c r="K13" s="2">
        <v>2011</v>
      </c>
      <c r="L13" s="12">
        <v>78131.566599999976</v>
      </c>
    </row>
    <row r="14" spans="1:12" x14ac:dyDescent="0.3">
      <c r="A14" s="2" t="s">
        <v>56</v>
      </c>
      <c r="B14" s="7">
        <v>35379.119800000015</v>
      </c>
      <c r="F14" s="10" t="s">
        <v>17</v>
      </c>
      <c r="G14" s="7">
        <v>215047.9126000001</v>
      </c>
      <c r="K14" s="2">
        <v>2012</v>
      </c>
      <c r="L14" s="7">
        <v>130476.85979999998</v>
      </c>
    </row>
    <row r="15" spans="1:12" x14ac:dyDescent="0.3">
      <c r="A15" s="2" t="s">
        <v>73</v>
      </c>
      <c r="B15" s="7">
        <v>15596.696600000001</v>
      </c>
      <c r="F15" s="10" t="s">
        <v>10</v>
      </c>
      <c r="G15" s="7">
        <v>121349.89940000001</v>
      </c>
      <c r="K15" s="2">
        <v>2014</v>
      </c>
      <c r="L15" s="7">
        <v>131809.01560000007</v>
      </c>
    </row>
    <row r="16" spans="1:12" x14ac:dyDescent="0.3">
      <c r="A16" s="2" t="s">
        <v>28</v>
      </c>
      <c r="B16" s="7">
        <v>90706.728999999992</v>
      </c>
      <c r="F16" s="2" t="s">
        <v>34</v>
      </c>
      <c r="G16" s="7">
        <v>393150.64760000008</v>
      </c>
      <c r="K16" s="2">
        <v>2015</v>
      </c>
      <c r="L16" s="7">
        <v>130942.78019999999</v>
      </c>
    </row>
    <row r="17" spans="1:12" x14ac:dyDescent="0.3">
      <c r="A17" s="2" t="s">
        <v>66</v>
      </c>
      <c r="B17" s="7">
        <v>101276.46159999995</v>
      </c>
      <c r="F17" s="10" t="s">
        <v>17</v>
      </c>
      <c r="G17" s="7">
        <v>254464.77940000014</v>
      </c>
      <c r="K17" s="2">
        <v>2016</v>
      </c>
      <c r="L17" s="7">
        <v>132113.36980000007</v>
      </c>
    </row>
    <row r="18" spans="1:12" x14ac:dyDescent="0.3">
      <c r="A18" s="2" t="s">
        <v>24</v>
      </c>
      <c r="B18" s="7">
        <v>118558.88140000009</v>
      </c>
      <c r="F18" s="10" t="s">
        <v>10</v>
      </c>
      <c r="G18" s="7">
        <v>138685.86819999994</v>
      </c>
      <c r="K18" s="2">
        <v>2017</v>
      </c>
      <c r="L18" s="7">
        <v>133103.90699999989</v>
      </c>
    </row>
    <row r="19" spans="1:12" x14ac:dyDescent="0.3">
      <c r="A19" s="2" t="s">
        <v>12</v>
      </c>
      <c r="B19" s="7">
        <v>178124.08099999995</v>
      </c>
      <c r="F19" s="2" t="s">
        <v>21</v>
      </c>
      <c r="G19" s="7">
        <v>472133.03320000012</v>
      </c>
      <c r="K19" s="2">
        <v>2018</v>
      </c>
      <c r="L19" s="7">
        <v>204522.25700000025</v>
      </c>
    </row>
    <row r="20" spans="1:12" x14ac:dyDescent="0.3">
      <c r="A20" s="2" t="s">
        <v>60</v>
      </c>
      <c r="B20" s="7">
        <v>29334.680599999996</v>
      </c>
      <c r="F20" s="10" t="s">
        <v>17</v>
      </c>
      <c r="G20" s="7">
        <v>306806.99640000012</v>
      </c>
      <c r="K20" s="2">
        <v>2020</v>
      </c>
      <c r="L20" s="7">
        <v>129103.96039999987</v>
      </c>
    </row>
    <row r="21" spans="1:12" x14ac:dyDescent="0.3">
      <c r="A21" s="2" t="s">
        <v>19</v>
      </c>
      <c r="B21" s="7">
        <v>68025.838800000012</v>
      </c>
      <c r="F21" s="10" t="s">
        <v>10</v>
      </c>
      <c r="G21" s="7">
        <v>165326.0368</v>
      </c>
      <c r="K21" s="2">
        <v>2022</v>
      </c>
      <c r="L21" s="7">
        <v>131477.77639999994</v>
      </c>
    </row>
    <row r="22" spans="1:12" x14ac:dyDescent="0.3">
      <c r="A22" s="2" t="s">
        <v>41</v>
      </c>
      <c r="B22" s="7">
        <v>135976.52539999998</v>
      </c>
      <c r="F22" s="2" t="s">
        <v>1610</v>
      </c>
      <c r="G22" s="7">
        <v>1201681.4928000001</v>
      </c>
      <c r="K22" s="2" t="s">
        <v>1610</v>
      </c>
      <c r="L22" s="7">
        <v>1201681.4927999999</v>
      </c>
    </row>
    <row r="23" spans="1:12" x14ac:dyDescent="0.3">
      <c r="A23" s="2" t="s">
        <v>53</v>
      </c>
      <c r="B23" s="7">
        <v>59449.863799999992</v>
      </c>
    </row>
    <row r="24" spans="1:12" x14ac:dyDescent="0.3">
      <c r="A24" s="2" t="s">
        <v>63</v>
      </c>
      <c r="B24" s="7">
        <v>22451.891599999999</v>
      </c>
    </row>
    <row r="25" spans="1:12" x14ac:dyDescent="0.3">
      <c r="A25" s="2" t="s">
        <v>152</v>
      </c>
      <c r="B25" s="7">
        <v>9077.869999999999</v>
      </c>
    </row>
    <row r="26" spans="1:12" x14ac:dyDescent="0.3">
      <c r="A26" s="2" t="s">
        <v>47</v>
      </c>
      <c r="B26" s="7">
        <v>175433.92240000021</v>
      </c>
    </row>
    <row r="27" spans="1:12" x14ac:dyDescent="0.3">
      <c r="A27" s="2" t="s">
        <v>32</v>
      </c>
      <c r="B27" s="7">
        <v>58514.166999999987</v>
      </c>
    </row>
    <row r="28" spans="1:12" x14ac:dyDescent="0.3">
      <c r="A28" s="2" t="s">
        <v>158</v>
      </c>
      <c r="B28" s="7">
        <v>21880.027399999992</v>
      </c>
    </row>
    <row r="29" spans="1:12" x14ac:dyDescent="0.3">
      <c r="A29" s="2" t="s">
        <v>1610</v>
      </c>
      <c r="B29" s="7">
        <v>1201681.4927999999</v>
      </c>
    </row>
    <row r="30" spans="1:12" x14ac:dyDescent="0.3">
      <c r="D30" s="1" t="s">
        <v>1609</v>
      </c>
      <c r="E30" t="s">
        <v>1611</v>
      </c>
    </row>
    <row r="31" spans="1:12" x14ac:dyDescent="0.3">
      <c r="D31" s="2" t="s">
        <v>30</v>
      </c>
      <c r="E31" s="12">
        <v>248991.58600000024</v>
      </c>
    </row>
    <row r="32" spans="1:12" x14ac:dyDescent="0.3">
      <c r="D32" s="2" t="s">
        <v>15</v>
      </c>
      <c r="E32" s="12">
        <v>507895.7363999993</v>
      </c>
    </row>
    <row r="33" spans="2:5" x14ac:dyDescent="0.3">
      <c r="D33" s="2" t="s">
        <v>26</v>
      </c>
      <c r="E33" s="12">
        <v>444794.17039999936</v>
      </c>
    </row>
    <row r="34" spans="2:5" x14ac:dyDescent="0.3">
      <c r="D34" s="2" t="s">
        <v>1610</v>
      </c>
      <c r="E34" s="12">
        <v>1201681.4927999987</v>
      </c>
    </row>
    <row r="45" spans="2:5" x14ac:dyDescent="0.3">
      <c r="B45" s="1" t="s">
        <v>1609</v>
      </c>
      <c r="C45" t="s">
        <v>1611</v>
      </c>
    </row>
    <row r="46" spans="2:5" x14ac:dyDescent="0.3">
      <c r="B46" s="2" t="s">
        <v>39</v>
      </c>
      <c r="C46" s="12">
        <v>151939.149</v>
      </c>
    </row>
    <row r="47" spans="2:5" x14ac:dyDescent="0.3">
      <c r="B47" s="2" t="s">
        <v>16</v>
      </c>
      <c r="C47" s="12">
        <v>787549.89280000131</v>
      </c>
    </row>
    <row r="48" spans="2:5" x14ac:dyDescent="0.3">
      <c r="B48" s="2" t="s">
        <v>22</v>
      </c>
      <c r="C48" s="12">
        <v>131477.77639999994</v>
      </c>
    </row>
    <row r="49" spans="2:3" x14ac:dyDescent="0.3">
      <c r="B49" s="2" t="s">
        <v>45</v>
      </c>
      <c r="C49" s="12">
        <v>130714.67460000006</v>
      </c>
    </row>
    <row r="50" spans="2:3" x14ac:dyDescent="0.3">
      <c r="B50" s="2" t="s">
        <v>1610</v>
      </c>
      <c r="C50" s="12">
        <v>1201681.4928000013</v>
      </c>
    </row>
    <row r="106" spans="3:4" x14ac:dyDescent="0.3">
      <c r="C106" s="1" t="s">
        <v>1609</v>
      </c>
      <c r="D106" t="s">
        <v>1611</v>
      </c>
    </row>
    <row r="107" spans="3:4" x14ac:dyDescent="0.3">
      <c r="C107" s="2" t="s">
        <v>14</v>
      </c>
      <c r="D107" s="12">
        <v>336397.81199999945</v>
      </c>
    </row>
    <row r="108" spans="3:4" x14ac:dyDescent="0.3">
      <c r="C108" s="2" t="s">
        <v>34</v>
      </c>
      <c r="D108" s="12">
        <v>393150.64759999956</v>
      </c>
    </row>
    <row r="109" spans="3:4" x14ac:dyDescent="0.3">
      <c r="C109" s="2" t="s">
        <v>21</v>
      </c>
      <c r="D109" s="12">
        <v>472133.03319999954</v>
      </c>
    </row>
    <row r="110" spans="3:4" x14ac:dyDescent="0.3">
      <c r="C110" s="2" t="s">
        <v>1610</v>
      </c>
      <c r="D110" s="12">
        <v>1201681.4927999985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zoomScaleNormal="100" workbookViewId="0">
      <selection activeCell="D16" sqref="A2:M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1616</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K11" t="e">
        <f>AVERAGEIF(C:C, D11, J:J)</f>
        <v>#DIV/0!</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KPIs</vt:lpstr>
      <vt:lpstr>Dashboard</vt:lpstr>
      <vt:lpstr>Charts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vaibhav verma</cp:lastModifiedBy>
  <cp:lastPrinted>2026-03-27T03:26:29Z</cp:lastPrinted>
  <dcterms:created xsi:type="dcterms:W3CDTF">2024-06-23T13:11:17Z</dcterms:created>
  <dcterms:modified xsi:type="dcterms:W3CDTF">2026-03-27T03:37:57Z</dcterms:modified>
</cp:coreProperties>
</file>